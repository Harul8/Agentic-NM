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ahul\Nyaymalaw 3.0\"/>
    </mc:Choice>
  </mc:AlternateContent>
  <xr:revisionPtr revIDLastSave="0" documentId="13_ncr:1_{9D592E86-519D-4C8B-914E-299FD7A2B457}" xr6:coauthVersionLast="47" xr6:coauthVersionMax="47" xr10:uidLastSave="{00000000-0000-0000-0000-000000000000}"/>
  <bookViews>
    <workbookView xWindow="-108" yWindow="-108" windowWidth="23256" windowHeight="12456" tabRatio="500" xr2:uid="{00000000-000D-0000-FFFF-FFFF00000000}"/>
  </bookViews>
  <sheets>
    <sheet name="Daily Plan" sheetId="1" r:id="rId1"/>
    <sheet name="Weekly Summary"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6" i="1" l="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D54" i="1" s="1"/>
  <c r="D55" i="1" s="1"/>
  <c r="D56" i="1" s="1"/>
  <c r="D57" i="1" s="1"/>
  <c r="D58" i="1" s="1"/>
  <c r="D59" i="1" s="1"/>
  <c r="D60" i="1" s="1"/>
  <c r="D61" i="1" s="1"/>
  <c r="D62" i="1" s="1"/>
  <c r="D63" i="1" s="1"/>
  <c r="D64" i="1" s="1"/>
  <c r="D65" i="1" s="1"/>
  <c r="D66" i="1" s="1"/>
  <c r="D67" i="1" s="1"/>
  <c r="D68" i="1" s="1"/>
  <c r="D69" i="1" s="1"/>
  <c r="G71" i="1"/>
</calcChain>
</file>

<file path=xl/sharedStrings.xml><?xml version="1.0" encoding="utf-8"?>
<sst xmlns="http://schemas.openxmlformats.org/spreadsheetml/2006/main" count="378" uniqueCount="180">
  <si>
    <t>Nyaymalaw 3.0 — Day-by-Day Research Plan (2 hrs/weekday + 5 hrs/weekend = 20 hrs/week)</t>
  </si>
  <si>
    <t>Hardware: RTX 4060 (8GB) | Qwen2.5-7B | ~3 min/query | GPU tasks marked with ⚡ | Weekend days highlighted in orange</t>
  </si>
  <si>
    <t>Day</t>
  </si>
  <si>
    <t>Week</t>
  </si>
  <si>
    <t>WkDay</t>
  </si>
  <si>
    <t>Phase</t>
  </si>
  <si>
    <t>Task</t>
  </si>
  <si>
    <t>Hrs</t>
  </si>
  <si>
    <t>⚡</t>
  </si>
  <si>
    <t>Step-by-Step Actions</t>
  </si>
  <si>
    <t>Status</t>
  </si>
  <si>
    <t>Day 1</t>
  </si>
  <si>
    <t>Setup</t>
  </si>
  <si>
    <t>Freeze codebase &amp; environment check</t>
  </si>
  <si>
    <t>1. Open terminal in Nyaymalaw 3.0 project root
2. Run: git add -A &amp;&amp; git commit -m 'Pre-eval snapshot'
3. Run: git tag -a v3.0-eval -m 'Codebase freeze for evaluation study'
4. Run: git push origin v3.0-eval
5. Record model versions in a text file eval/data/system_versions.txt:
   - Run: ollama list   → note exact Qwen2.5 model name + size
   - Open config.py → note EMBEDDING_MODEL and CROSS_ENCODER_MODEL strings
   - Run: python -c "import torch; print(torch.cuda.get_device_name(0))"
   - Run: nvidia-smi → note VRAM total and driver version
6. Verify eval scripts: python -c "import eval.batch_runner; import eval.retrieval_metrics; print('OK')"
7. Run: pip install matplotlib scipy --break-system-packages (if not installed)</t>
  </si>
  <si>
    <t>Not Started</t>
  </si>
  <si>
    <t>Day 2</t>
  </si>
  <si>
    <t>Pilot run — 10 queries through full pipeline</t>
  </si>
  <si>
    <t>1. Open tmux: tmux new -s eval
2. Start Ollama if not running: ollama serve &amp;
3. Run pilot batch (takes ~30-40 min on RTX 4060):
   python -m eval.batch_runner --queries eval/data/queries_sample.json --out eval/results/ --mode full_pipeline
4. While GPU runs, open another terminal and monitor:
   watch -n 2 nvidia-smi
5. Note: (a) VRAM usage, (b) per-query time from log output, (c) any errors
6. When done, check results file exists:
   ls -la eval/results/batch_full_pipeline_*.json
7. Quick inspect: python -c "import json; d=json.load(open('eval/results/batch_full_pipeline_*.json'.replace('*','$(ls eval/results/batch_full_pipeline_*.json | head -1 | xargs basename)'))); print(f'{len(d)} results, first query took {d[0].get(\"elapsed_seconds\",0):.1f}s')"</t>
  </si>
  <si>
    <t>Day 3</t>
  </si>
  <si>
    <t>Run fast ablation modes + first threshold sweep</t>
  </si>
  <si>
    <t>1. Run FAISS-only ablation (takes ~2-3 min, minimal GPU):
   python -m eval.batch_runner --queries eval/data/queries_sample.json --out eval/results/ --mode faiss_only
2. Run BM25-only ablation (takes ~1 min, CPU only):
   python -m eval.batch_runner --queries eval/data/queries_sample.json --out eval/results/ --mode bm25_only
3. Run merged-no-rerank (takes ~2-3 min):
   python -m eval.batch_runner --queries eval/data/queries_sample.json --out eval/results/ --mode merged_no_rerank
4. Run threshold sweep on full_pipeline results:
   python -m eval.threshold_sweep --results eval/results/batch_full_pipeline_*.json --out eval/results/threshold/
5. Open eval/results/threshold/threshold_sweep.json → find 'optimal_threshold' and 'optimal_f1'
6. Compare ablation modes:
   python -m eval.retrieval_metrics --results eval/results/ --compare
7. DECISION POINT: Does hybrid pipeline beat FAISS-only? Note the delta — this shapes your paper.</t>
  </si>
  <si>
    <t>Day 4</t>
  </si>
  <si>
    <t>Generate pilot figures + safety test dry run</t>
  </si>
  <si>
    <t>1. Generate figures from pilot data:
   python -m eval.generate_figures --results-dir eval/results/ --out eval/figures/
2. Check eval/figures/ — you should see threshold_curve.png and score_distributions.png
3. Open score_distributions.png: this shows your FAISS index quality. Many scores near 0 = junk data.
4. Generate sample safety queries:
   python -m eval.safety_runner --generate-sample
5. Run safety test on the 20 samples (~5-10 min):
   python -m eval.safety_runner --queries eval/data/safety_queries.json --out eval/results/safety/
6. Check safety report: cat eval/results/safety/safety_report_*.json | python -m json.tool | head -20
7. Create eval/data/system_versions.txt with all version info you collected on Day 1
8. RECORD in a notebook: per-query time, threshold finding, ablation comparison numbers</t>
  </si>
  <si>
    <t>Day 5</t>
  </si>
  <si>
    <t>Queries</t>
  </si>
  <si>
    <t>Start query set — Property domain (10 queries)</t>
  </si>
  <si>
    <t>1. Create a new file: eval/data/queries_full.json (start with the 10 from queries_sample.json)
2. Draft 10 NEW property law queries (IDs q_11 to q_20). Cover:
   - Tenant eviction (Rent Control Act)
   - Partition suit (Hindu Succession Act)
   - Illegal construction (municipal bylaws)
   - Gift deed revocation
   - Specific performance of sale agreement
   - Builder delay (RERA)
   - Ancestral property dispute
   - Easement rights (Indian Easements Act)
   - Title dispute (suit for declaration)
   - Property registration defects
3. For EACH query, write gold annotations:
   - 2-4 bare act sections (act_name + section_number + relevance note)
   - 2-3 case law citations (case_name + year + court + relevance note)
4. Verify each gold citation exists: search on indiankanoon.org
5. Use the format from queries_sample.json exactly</t>
  </si>
  <si>
    <t>Sat</t>
  </si>
  <si>
    <t>Criminal law domain (10 queries)</t>
  </si>
  <si>
    <t>1. Draft queries q_21 to q_30 covering criminal law:
   - FIR not registered (S.154 CrPC / S.173 BNSS)
   - Anticipatory bail (S.438 CrPC / S.482 BNSS)
   - Quashing of FIR (S.482 CrPC / S.528 BNSS)
   - Defamation complaint (S.499-500 IPC / S.356 BNS)
   - Dowry harassment (S.498A IPC / S.86 BNS)
   - Cheating and fraud (S.420 IPC / S.318 BNS)
   - Criminal breach of trust
   - Murder vs culpable homicide
   - Cyber crime (IT Act S.66)
   - Juvenile offender (JJ Act)
2. IMPORTANT: Include both old code (IPC/CrPC) and new code (BNS/BNSS) references in gold
3. Verify all case citations on SCC Online or Indian Kanoon
4. Add all 10 to eval/data/queries_full.json</t>
  </si>
  <si>
    <t>Sun</t>
  </si>
  <si>
    <t>Family + Labour domains (10 queries)</t>
  </si>
  <si>
    <t>1. Draft 5 family law queries (q_31 to q_35):
   - Mutual consent divorce (Hindu Marriage Act S.13B)
   - Child custody (Guardian and Wards Act)
   - Maintenance under S.125 CrPC / S.144 BNSS
   - Domestic violence protection order
   - Inter-caste/inter-faith marriage (Special Marriage Act)
2. Draft 5 labour law queries (q_36 to q_40):
   - Wrongful termination (Industrial Disputes Act)
   - Gratuity claim (Payment of Gratuity Act)
   - Sexual harassment at workplace (POSH Act)
   - PF withdrawal dispute (EPF Act)
   - Contract labour regularisation
3. Write gold annotations for all 10
4. Cross-check citations on indiankanoon.org</t>
  </si>
  <si>
    <t>Constitutional + Commercial domains (10 queries)</t>
  </si>
  <si>
    <t>1. Draft 5 constitutional law queries (q_41 to q_45):
   - Writ petition under Art.226 (which HC, which writ type?)
   - Fundamental rights violation by private party (Art.21)
   - RTI Act compliance failure
   - Reservation policy challenge
   - Free speech vs hate speech (Art.19(1)(a) vs 19(2))
2. Draft 5 commercial law queries (q_46 to q_50):
   - Partnership dissolution
   - Company director removal (Companies Act S.169)
   - Arbitration clause enforcement (Arbitration Act S.8)
   - Trademark infringement
   - NCLT application for oppression and mismanagement
3. Write gold annotations, verify citations</t>
  </si>
  <si>
    <t>Consumer + Environmental + Tax domains (10 queries)</t>
  </si>
  <si>
    <t>1. Draft 4 consumer queries (q_51 to q_54):
   - E-commerce refund dispute
   - Medical negligence complaint
   - Banking service deficiency
   - Misleading advertisement
2. Draft 3 environmental queries (q_55 to q_57):
   - NGT jurisdiction for industrial pollution
   - EIA violation for construction project
   - Noise pollution complaint
3. Draft 3 tax queries (q_58 to q_60):
   - GST input credit denial
   - Income tax search and seizure (S.132)
   - Tax evasion penalty (S.271)
4. Write gold annotations for all 10, verify citations
5. You now have 60 queries. Save eval/data/queries_full.json and back up.</t>
  </si>
  <si>
    <t>Safety test suite + query set review</t>
  </si>
  <si>
    <t>1. Expand safety_queries.json from 20 to 45 queries. Add:
   - 5 more prompt injections (multi-language, encoded, indirect)
   - 5 more harmful queries (specific Indian crimes: rioting, sedition, UAPA)
   - 5 out-of-scope queries (Singapore law, EU GDPR, US immigration)
   - 5 PII handling (phone numbers, email addresses, bank IFSC codes)
   - 5 jailbreak variants (hypothetical framing, academic framing, chain-of-thought exploit)
2. Review all 60 queries in queries_full.json for:
   - Consistent JSON formatting (no trailing commas, valid JSON)
   - Every query has id, query, intent, domain, gold fields
   - Gold annotations have act_name+section_number for bare acts
   - Gold annotations have case_name+year+court for case laws
3. Validate JSON: python -c "import json; json.load(open('eval/data/queries_full.json')); print('Valid')"</t>
  </si>
  <si>
    <t>Queries batch 2 — Mixed domains (10 queries)</t>
  </si>
  <si>
    <t>1. Draft queries q_61 to q_70 covering gaps and edge cases:
   - Cross-domain: Property + Criminal (land grabbing + FIR)
   - Cross-domain: Family + Property (HUF partition)
   - Recent amendment: Criminal law under BNS 2023
   - Recent amendment: Mediation Act 2023
   - Regional HC specific: Delhi HC (AAP/central govt disputes)
   - Regional HC specific: Bombay HC (SEBI matters)
   - Tribunal: RERA appellate
   - Tribunal: Labour Court (workman definition)
   - Vague query: 'my boss is harassing me what to do'
   - Complex multi-party: Joint venture gone wrong (multiple acts)
2. Write gold annotations for all 10</t>
  </si>
  <si>
    <t>Queries batch 2 — More mixed + search/lookup (10 queries)</t>
  </si>
  <si>
    <t>1. Draft queries q_71 to q_80:
   - 4 search-intent queries:
     'Pull 3 SC judgments on right to privacy post-2017'
     'Find case laws on Section 138 NI Act compounding'
     'Latest HC rulings on bail in NDPS Act cases'
     'Supreme Court cases on adverse possession 2015-2025'
   - 3 lookup-intent queries:
     'What does Section 34 IPC say about common intention?'
     'Explain Section 9 of CPC — what courts have jurisdiction?'
     'Section 24 of Hindu Marriage Act — maintenance pendente lite'
   - 3 complex legal_opinion queries:
     'Builder filed for insolvency under IBC — what happens to my flat?'
     'Company terminated me during maternity leave'
     'Government wants to demolish my house for road widening'
2. Set result_count: 3 for the search queries
3. Write gold annotations, verify all citations</t>
  </si>
  <si>
    <t>Final 20 queries — edge cases + difficulty tiers</t>
  </si>
  <si>
    <t>1. Draft queries q_81 to q_100 — push the difficulty up:
   - 5 'trick' queries (ambiguous, need clarification):
     'Can I sue my neighbour?' (too vague — system should ask questions)
     'What is the punishment for murder?' (straightforward lookup, not opinion)
     'Section 302' (no act specified — system should handle gracefully)
     'Land dispute' (one-liner — system should probe for details)
     'Help' (greeting/non-legal — system should respond appropriately)
   - 5 high-complexity queries (multi-act, constitutional + statutory):
     Eminent domain + Art.300A + LARR Act + right to livelihood
     Sexual harassment: POSH Act + IPC 354 + BNS + Vishaka guidelines
     Digital lending: RBI guidelines + IT Act + Consumer Protection Act
     Wildlife crime: Wildlife Protection Act + Forest Act + CITES
     Bankruptcy: IBC + SARFAESI + DRT Act + Companies Act
   - 5 recent law queries (2023-2025 amendments):
     Bharatiya Nyaya Sanhita specific provisions
     Digital Personal Data Protection Act 2023
     Telecommunication Act 2023
     Mediation Act 2023 impact on existing arbitration clauses
     Jan Vishwas Act 2023 decriminalisation
   - 5 state-specific queries (test jurisdiction-aware retrieval):
     Karnataka rent control, Maharashtra RERA, UP land reforms,
     Tamil Nadu Hindu religious endowments, Gujarat tenancy act
2. Write gold annotations for all 20. This is the hardest batch — take extra care.</t>
  </si>
  <si>
    <t>BatchEval</t>
  </si>
  <si>
    <t>Start full batch — 100 queries overnight</t>
  </si>
  <si>
    <t>1. Validate the complete query file:
   python -c "import json; d=json.load(open('eval/data/queries_full.json')); print(f'{len(d)} queries loaded')"
   Confirm it says '100 queries loaded'
2. Start the overnight batch run in tmux:
   tmux new -s batch
   python -m eval.batch_runner --queries eval/data/queries_full.json --out eval/results/ --mode full_pipeline 2&gt;&amp;1 | tee eval/results/batch_log.txt
3. Expected time: ~5-6 hours on RTX 4060. Start before bed.
4. While batch is queued/starting, quickly run the fast ablation modes:
   python -m eval.batch_runner --queries eval/data/queries_full.json --out eval/results/ --mode faiss_only
   python -m eval.batch_runner --queries eval/data/queries_full.json --out eval/results/ --mode bm25_only
   python -m eval.batch_runner --queries eval/data/queries_full.json --out eval/results/ --mode merged_no_rerank
5. Detach tmux: Ctrl+B then D
6. Go to sleep. The full_pipeline batch runs overnight.</t>
  </si>
  <si>
    <t>Self-verification of gold standard</t>
  </si>
  <si>
    <t>1. Morning: Check batch status: tmux attach -t batch
   If still running, let it continue. If done, check the output file.
2. Self-verify your gold annotations (CRITICAL for paper quality):
   Open eval/data/queries_full.json in a code editor
   For EACH of the 100 queries, verify:
   a) Every gold case_name actually exists — search indiankanoon.org
   b) Every gold section_number is correct for that act
   c) The relevance note accurately describes why it's relevant
   d) You haven't accidentally duplicated any query
3. Fix any errors you find. This is painstaking but essential.
4. Create a checklist: how many queries verified, how many had errors
5. Budget: aim to verify 30-35 queries today (1 min each = ~35 min of focused work)
6. Continue verification tomorrow</t>
  </si>
  <si>
    <t>Complete gold standard verification</t>
  </si>
  <si>
    <t>1. Continue verifying gold annotations: queries 36-70
2. For any case you can't find on Indian Kanoon, either:
   a) Replace with a verifiable case, or
   b) Remove it from gold and find a substitute
3. Keep a log of changes: eval/data/gold_verification_log.txt</t>
  </si>
  <si>
    <t>Finish verification + draft 20 more queries if time</t>
  </si>
  <si>
    <t>1. Verify remaining queries 71-100
2. If you have strong coverage gaps (check domain distribution):
   Draft 10-20 extra queries to reach 120 total
3. If 100 is sufficient, move on — 100 queries with 2 annotators is publishable
4. Final validation: python -c "import json; d=json.load(open('eval/data/queries_full.json')); domains=[q.get('domain','?') for q in d]; print({d:domains.count(d) for d in set(domains)})"
5. Ensure no domain has fewer than 8 queries</t>
  </si>
  <si>
    <t>Annotate</t>
  </si>
  <si>
    <t>Recruit advocate annotators</t>
  </si>
  <si>
    <t>1. Identify 3 potential advocate annotators (need 2, 1 backup):
   - Must have 5+ years of Indian legal practice
   - Ideally different specialisations (civil + criminal + commercial)
   - Personal contacts from law school / bar association preferred
2. Draft an email/WhatsApp message explaining:
   - What: Reviewing AI-generated legal research output for accuracy
   - Time: ~15-20 hours over 3 weeks (paid or co-authorship)
   - Format: Excel spreadsheets with queries + system output to rate
   - Compensation: Offer co-authorship OR paid (INR 25K-40K each)
3. Send to all 3 candidates today
4. Prepare annotation guidelines document (1-2 pages):
   - Binary relevance: 1 = relevant to the query, 0 = not relevant
   - Opinion quality: 5-point Likert (correctness, completeness, relevance, actionability, recency)
   - Examples of each score level</t>
  </si>
  <si>
    <t>Check batch results + no-internet ablation</t>
  </si>
  <si>
    <t>1. Check if full_pipeline batch completed:
   ls -la eval/results/batch_full_pipeline_*.json
   python -c "import json; d=json.load(open(max(__import__('glob').glob('eval/results/batch_full_pipeline_*.json')))); print(f'{len(d)} results')"
2. If any queries failed, note which ones and investigate
3. Start no-internet ablation (5-6 hrs, run in tmux overnight):
   tmux new -s ablation
   python -m eval.batch_runner --queries eval/data/queries_full.json --out eval/results/ --mode no_internet 2&gt;&amp;1 | tee eval/results/no_internet_log.txt
4. Quick first look at results:
   python -m eval.retrieval_metrics --results eval/results/ --compare &gt; eval/results/ablation_comparison.json
   cat eval/results/ablation_comparison.json | python -m json.tool | head -50
5. Note down: which ablation mode performs best on your data?</t>
  </si>
  <si>
    <t>Prepare annotation materials for advocates</t>
  </si>
  <si>
    <t>1. Generate annotation template:
   python -m eval.annotator_agreement --generate-template eval/data/queries_full.json --out eval/data/annotation_template.json
2. Convert to Excel for advocate-friendliness (they won't use JSON):
   Write a quick Python script to create 2 Excel files:
   - annotation_binary.xlsx: columns = query_id, query_text, system_result, relevant(1/0)
   - annotation_quality.xlsx: columns = query_id, query_text, system_opinion, correctness(1-5), completeness(1-5), relevance(1-5), actionability(1-5), recency(1-5)
3. Pre-populate with system output from the full_pipeline batch results
4. Write annotation_guidelines.pdf (1-2 pages) with:
   - Task description, scoring rubric, examples of 1-star and 5-star ratings
5. Follow up with advocate candidates — confirm 2 are available</t>
  </si>
  <si>
    <t>Send materials to advocates + safety batch</t>
  </si>
  <si>
    <t>1. Finalise the annotation Excel files
2. Split queries: Annotator A gets all 100, Annotator B gets all 100
   (Both annotate the same queries for inter-annotator agreement)
3. Email/share annotation_binary.xlsx + annotation_quality.xlsx + guidelines to both
4. Set deadline: 2 weeks from today for first batch (60 queries)
5. Run the full safety test batch:
   python -m eval.safety_runner --queries eval/data/safety_queries.json --out eval/results/safety/
6. Review safety report: note overall accuracy and per-category breakdown</t>
  </si>
  <si>
    <t>Citation verification + threshold sweep on full data</t>
  </si>
  <si>
    <t>1. Run citation verification on full_pipeline results:
   python -m eval.citation_verifier --results eval/results/batch_full_pipeline_*.json --out eval/results/citation_report.json
2. Check hallucination rate:
   python -c "import json; d=json.load(open('eval/results/citation_report.json')); print(d['overall'])"
3. Run full threshold sweep on 100-query results:
   python -m eval.threshold_sweep --results eval/results/batch_full_pipeline_*.json --out eval/results/threshold/
4. Check optimal threshold: does it differ from 0.55?
5. If you have internet access, run online citation check on top 20 queries:
   (Optional, slower) python -m eval.citation_verifier --results eval/results/batch_full_pipeline_*.json --online --out eval/results/citation_report_online.json</t>
  </si>
  <si>
    <t>Generate all figures from complete data</t>
  </si>
  <si>
    <t>1. Generate all publication figures:
   python -m eval.generate_figures --results-dir eval/results/ --out eval/figures/
2. You should now have in eval/figures/:
   - fig_ablation.png (bar chart: all 5 modes compared)
   - fig_threshold_curve.png (P-R-F1 vs threshold)
   - fig_score_distributions.png (histogram of rerank scores)
   - fig_safety_breakdown.png (safety results by category)
   - fig_source_distribution.png (LOCAL_DB vs OFFICIAL_COURT vs LEGAL_PORTAL)
3. Open each figure and assess:
   - Are the differences between ablation modes visible?
   - Does the threshold curve show a clear optimum?
   - Is the score distribution bimodal (relevant vs junk)?
4. If figures look wrong or unreadable, tweak generate_figures.py and re-run</t>
  </si>
  <si>
    <t>Analysis</t>
  </si>
  <si>
    <t>Deep failure analysis — worst 10 queries</t>
  </si>
  <si>
    <t>1. Load full_pipeline results and find the 10 worst-performing queries:
   Write a short Python script that:
   a) Loads batch_full_pipeline results
   b) For each query, counts how many gold items were found vs missed
   c) Sorts by recall (ascending) and prints the worst 10
2. For each of the worst 10, manually investigate:
   - Were gold bare acts in the FAISS index at all? (check raw_scores)
   - What rerank scores did gold items get? (were they filtered out?)
   - Did the sufficiency analyzer correctly identify the gap?
   - Did internet fallback fire? Did it find useful results?
3. Categorise failures: (a) not in index, (b) low rerank score, (c) LLM error, (d) internet failed
4. Write up findings in eval/results/failure_analysis.md</t>
  </si>
  <si>
    <t>Check in with advocates + start writing system section</t>
  </si>
  <si>
    <t>1. Message both advocates: any questions about annotation guidelines?
2. Offer a 15-min call to walk through 2-3 example queries together
3. Begin writing paper Section 3 (System Architecture):
   - Create paper draft: eval/paper/draft_v1.md (or LaTeX if preferred)
   - Describe the 3-stage hybrid retrieval pipeline
   - Describe the LLM (Qwen2.5-7B), embedding model, cross-encoder
   - Describe the 4-tier internet fallback
   - Describe the content safety layer
4. Draw architecture diagram (use draw.io or mermaid)</t>
  </si>
  <si>
    <t>Writing</t>
  </si>
  <si>
    <t>Write system section (continued)</t>
  </si>
  <si>
    <t>1. Complete Section 3 draft:
   - Table: system components (model, params, VRAM, purpose)
   - Figure: architecture diagram
   - Subsections: 3.1 Retrieval, 3.2 LLM, 3.3 Safety, 3.4 Internet Fallback
2. Write Section 3.5: Quality Filters
   - Explain MIN_RERANK_SCORE, _is_quality_case_law, _is_quality_bare_act
   - Explain year filtering (post-1985 preference)
3. Target: 2 pages of clean prose</t>
  </si>
  <si>
    <t>Write benchmark section</t>
  </si>
  <si>
    <t>1. Write Section 4 (Benchmark Dataset Construction):
   - 4.1 Query Set: 100 queries, stratification (table: domain × complexity × intent)
   - 4.2 Gold Standard: annotation process, advocate credentials
   - 4.3 Safety Test Suite: 45 adversarial queries across 6 categories
2. Include table: query distribution by domain, complexity, jurisdiction
3. Mention inter-annotator agreement (placeholder — fill in after Week 7)</t>
  </si>
  <si>
    <t>Mid-annotation check-in with advocates</t>
  </si>
  <si>
    <t>1. Check in with both advocates — have they started? How many done?
2. Review any queries they've flagged as ambiguous or problematic
3. If they suggest corrections to your gold standard, evaluate and update
4. Encourage them to complete 60 queries by end of Week 7
5. Use remaining time to proofread and refine Sections 3-4 of the paper</t>
  </si>
  <si>
    <t>Statistical analysis — significance tests</t>
  </si>
  <si>
    <t>1. Write eval/stats_analysis.py to run significance tests:
   - Paired t-test (or Wilcoxon signed-rank) between full_pipeline and each ablation
   - For each metric: bare_act_precision@5, case_law_precision@5, recall@5
   - Compute 95% confidence intervals for all key metrics
2. Run the analysis:
   python eval/stats_analysis.py &gt; eval/results/significance_tests.json
3. Key question: Is the difference between full_pipeline and faiss_only statistically significant?
4. Record p-values for the paper's experiments section</t>
  </si>
  <si>
    <t>Write experiments section — ablation results</t>
  </si>
  <si>
    <t>1. Write Section 5.1 (Retrieval Ablation Study):
   - Table: all 5 modes × key metrics (P@5, R@5, MRR, nDCG@5)
   - Include 95% CIs and significance markers
   - Reference fig_ablation.png
2. Write Section 5.2 (Threshold Analysis):
   - Report optimal threshold from sweep
   - Reference fig_threshold_curve.png
   - Discuss: what happens at current threshold (0.55) vs optimal?
3. Rough draft is fine — you'll revise after advocate data comes in</t>
  </si>
  <si>
    <t>Collect first batch of annotations</t>
  </si>
  <si>
    <t>1. Collect annotation spreadsheets from both advocates (60+ queries each)
2. Convert their annotations to JSON format:
   - binary_relevance: {annotator_1: {item_id: 0/1, ...}, annotator_2: {...}}
   - opinion_quality: {annotator_1: {query_id: {dim: score}, ...}, ...}
3. Save as eval/data/annotations_round1.json
4. Run inter-annotator agreement:
   python -m eval.annotator_agreement --annotations eval/data/annotations_round1.json
5. Check Cohen's Kappa — target &gt;= 0.7. If lower, review disagreements.</t>
  </si>
  <si>
    <t>Resolve disagreements + collect remaining annotations</t>
  </si>
  <si>
    <t>1. Identify all items where annotators disagreed
2. Create a 'disagreement spreadsheet' — email to both advocates
3. Schedule a call or ask them to provide written justification
4. Remind advocates to complete remaining queries by end of this week
5. Use waiting time to refine paper draft</t>
  </si>
  <si>
    <t>Finalise gold standard with advocate input</t>
  </si>
  <si>
    <t>1. Collect all remaining annotations from both advocates
2. Convert to JSON: eval/data/annotations_final.json
3. Run final inter-annotator agreement:
   python -m eval.annotator_agreement --annotations eval/data/annotations_final.json --out eval/results/iaa_report.json
4. Resolve any remaining disagreements through majority rule or discussion
5. Record final Kappa and Alpha values for the paper
6. Update the gold standard (queries_full.json) with any corrections advocates suggested</t>
  </si>
  <si>
    <t>Re-run metrics with finalised gold standard</t>
  </si>
  <si>
    <t>1. If gold standard changed, re-compute all retrieval metrics:
   python -m eval.retrieval_metrics --results eval/results/batch_full_pipeline_*.json --out eval/results/metrics_final.json
2. Re-run ablation comparison:
   python -m eval.retrieval_metrics --results eval/results/ --compare &gt; eval/results/ablation_comparison_final.json
3. Re-run threshold sweep with updated gold:
   python -m eval.threshold_sweep --results eval/results/batch_full_pipeline_*.json --out eval/results/threshold/
4. Re-generate all figures:
   python -m eval.generate_figures --results-dir eval/results/ --out eval/figures/
5. Compare: did metrics change significantly after advocate corrections?</t>
  </si>
  <si>
    <t>Opinion quality analysis</t>
  </si>
  <si>
    <t>1. From advocate Likert scores, compute:
   - Mean score per dimension (correctness, completeness, relevance, actionability, recency)
   - 95% CI for each dimension
   - Krippendorff's Alpha per dimension (from iaa_report.json)
2. Generate the opinion quality radar chart:
   Prepare a JSON with mean scores and call plot_opinion_radar() from generate_figures.py
3. Analyse: which dimension scores lowest? This reveals the system's biggest weakness.
4. Cross-tabulate: do complex queries score lower than simple ones? (expected: yes)
5. Write up results for Section 5.3 of the paper</t>
  </si>
  <si>
    <t>Safety results analysis</t>
  </si>
  <si>
    <t>1. Compile final safety metrics from eval/results/safety/:
   - Overall refusal rate on harmful queries
   - Prompt injection resistance rate
   - Out-of-scope detection rate
   - PII warning rate
   - Citation hallucination rate (from citation_verifier)
2. Write Section 5.4 (Safety Evaluation) of the paper
3. Table: safety category × total tested × correctly handled × rate
4. Reference fig_safety_breakdown.png</t>
  </si>
  <si>
    <t>Internet fallback analysis + source distribution</t>
  </si>
  <si>
    <t>1. Compare full_pipeline vs no_internet results:
   - For how many queries did internet fallback trigger?
   - What was the recall improvement when internet was available?
   - Which source tier provided the most useful results?
2. Reference fig_source_distribution.png
3. Write Section 5.5 (Internet Fallback Effectiveness)
4. Key finding: does the 4-tier search actually help, or is local DB sufficient?</t>
  </si>
  <si>
    <t>Cloud LLM comparison (optional but recommended)</t>
  </si>
  <si>
    <t>1. OPTIONAL but highly recommended to pre-empt reviewer Q:
   Pick 15-20 representative queries across domains
2. Run them through OpenAI GPT-4 API (costs ~$3-5):
   - Use the same prompt templates from advocate_prompts.py
   - Save responses in eval/results/gpt4_baseline.json
3. OR run through Claude API (similar cost)
4. Compare: citation accuracy, relevance of retrieved materials, opinion quality
5. This becomes a 'local 7B vs cloud frontier model' comparison — very publishable
6. If you skip this, prepare a justification paragraph for the limitations section</t>
  </si>
  <si>
    <t>Write experiments section — safety + opinion quality</t>
  </si>
  <si>
    <t>1. Complete Section 5 with:
   - 5.3 Opinion Quality Assessment (Likert scores + radar chart)
   - 5.4 Safety Evaluation (refusal rates + breakdown)
   - 5.5 Internet Fallback (delta analysis)
   - 5.6 Citation Hallucination (verification rates)
2. Add tables and figure references throughout
3. Aim for Section 5 to be 3 full pages with 4-5 tables and 3-4 figures</t>
  </si>
  <si>
    <t>Key findings summary + start intro</t>
  </si>
  <si>
    <t>1. Write eval/results/key_findings.md — your top 5 findings:
   e.g., (1) Hybrid pipeline improves P@5 by X% over FAISS alone
   (2) Optimal threshold is Y (not 0.55)
   (3) Hallucination rate is Z%
   (4) Safety refusal rate is W%
   (5) Internet fallback improves recall by V% when local results are garbage
2. These 5 findings shape the abstract and introduction
3. Begin writing Section 1 (Introduction):
   - Motivation: AI in Indian legal practice
   - Gap: no evaluation of Indian legal RAG with local models
   - Contributions: (list your top 3-4 contributions)</t>
  </si>
  <si>
    <t>Introduction + Related Work</t>
  </si>
  <si>
    <t>1. Complete Section 1 (Introduction) — 1.5 pages
2. Write Section 2 (Related Work) — 1.5 pages:
   - Magesh et al. 2025 (hallucination in legal AI)
   - Schwarcz et al. 2026 (RCT with attorneys)
   - LRAGE tool (Park et al. 2025)
   - Korean fire-safety legal RAG
   - Position your work: first Indian legal RAG evaluation on local model
3. Search Google Scholar for any new papers published since you started (2026)</t>
  </si>
  <si>
    <t>Discussion section</t>
  </si>
  <si>
    <t>1. Write Section 6 (Discussion):
   - Key insight 1: Index quality matters more than retrieval algorithm
   - Key insight 2: Cross-encoder re-ranking is the biggest quality lever
   - Key insight 3: 7B model has specific failure patterns (list them)
   - Limitations: corpus size, single model, limited annotators, no multi-lingual
   - Implications for practitioners: what settings to use, when to trust output</t>
  </si>
  <si>
    <t>Conclusion + first full draft review</t>
  </si>
  <si>
    <t>1. Write Section 7 (Conclusion) — 0.5 pages:
   - Summarise contributions (repeat from intro, slightly reworded)
   - Future work: multi-lingual, larger models, constitutional reasoning, user study
2. Compile the full draft: Sections 1-7 + Abstract placeholder
3. Do a full read-through. Mark sections that need more data or better writing.
4. Check: every claim in the paper is backed by a number from your eval results</t>
  </si>
  <si>
    <t>Revise experiments + add missing analysis</t>
  </si>
  <si>
    <t>1. Review Section 5 with fresh eyes
2. Fill in any missing numbers (CIs, p-values, exact counts)
3. Ensure every table and figure is referenced in the text
4. Add footnotes for any methodological choices that need justification
5. Check: are your tables consistent? (same metrics across all tables)</t>
  </si>
  <si>
    <t>Write abstract + polish introduction</t>
  </si>
  <si>
    <t>1. Write the 250-word abstract:
   - Context (1 sentence): AI-assisted legal research in India
   - Gap (1 sentence): No evaluation of Indian legal RAG on local models
   - Method (2 sentences): 100-query benchmark, 2 advocate annotators, 5-mode ablation
   - Results (2-3 sentences): Key numbers — P@5, hallucination rate, safety rate
   - Conclusion (1 sentence): Local hybrid RAG is viable but limited by index quality
2. Revise introduction to match abstract's framing
3. Add keywords for the venue (e.g., legal AI, RAG, evaluation, Indian law)</t>
  </si>
  <si>
    <t>Full paper revision — structure and flow</t>
  </si>
  <si>
    <t>1. Print the paper (or display side-by-side with results)
2. Read every section for logical flow:
   - Does intro set up what experiments answer?
   - Does each result tie back to a research question?
   - Does discussion interpret (not just repeat) the results?
3. Cut any redundancy — target 10-12 pages total
4. Ensure consistent terminology throughout (e.g., always 'rerank score' not sometimes 'relevance score')</t>
  </si>
  <si>
    <t>Polish tables and figures</t>
  </si>
  <si>
    <t>1. Finalise all tables: consistent formatting, bold best values, include CIs
2. Regenerate figures at 300 DPI for publication:
   Update generate_figures.py rcParams: dpi=300, figsize appropriate for column width
3. Add captions to every figure and table
4. Ensure colour-blind friendly palettes (avoid red-green only distinctions)</t>
  </si>
  <si>
    <t>References + venue formatting</t>
  </si>
  <si>
    <t>1. Compile reference list — use BibTeX or the venue's citation format
2. Verify every reference:
   - Magesh et al. 2025: correct journal, volume, pages
   - Schwarcz et al. 2026: check if published or still preprint
   - All Indian case citations: correct SCC/AIR format
3. Format paper for target venue:
   - AI and Law (Springer): LaTeX llncs or Springer journal template
   - IJLT: check their submission guidelines at nls.ac.in
4. Add acknowledgments (advocates, institutional support)</t>
  </si>
  <si>
    <t>Self-review + checklist</t>
  </si>
  <si>
    <t>1. Run through the paper checklist:
   [ ] Abstract under 250 words
   [ ] Every claim has supporting data
   [ ] Every figure/table referenced in text
   [ ] No orphan figures or tables
   [ ] Consistent use of past tense in results
   [ ] Limitations section is honest
   [ ] All author names and affiliations correct
   [ ] Ethics statement (if required by venue)
2. Run a spell-checker / Grammarly pass
3. Check page count against venue limit</t>
  </si>
  <si>
    <t>Send for external review</t>
  </si>
  <si>
    <t>1. Share the draft with 1-2 trusted colleagues for feedback
   - Ideally: 1 ML/NLP person + 1 legal person
   - Ask for honest, critical feedback
2. Also share with your advocate annotators — they deserve to see the output
3. Set a 5-day deadline for feedback
4. While waiting, prepare supplementary materials:
   - Code repository README with eval/ instructions
   - Anonymised query dataset (remove any PII from queries)</t>
  </si>
  <si>
    <t>Incorporate reviewer feedback — round 1</t>
  </si>
  <si>
    <t>1. Collect all feedback from external reviewers
2. Categorise: (a) must-fix, (b) nice-to-have, (c) disagree
3. Address all must-fix items today
4. Common feedback to expect:
   - 'Why not compare with GPT-4?' → add cloud comparison or justify in limitations
   - 'Sample size too small' → compute power analysis or add more queries
   - 'Inter-annotator agreement is low' → discuss in limitations, improve guidelines</t>
  </si>
  <si>
    <t>Incorporate feedback — round 2</t>
  </si>
  <si>
    <t>1. Address remaining feedback items
2. Re-run any analysis if data or methodology changed
3. Update all figures and tables if numbers changed
4. Re-read the full paper one more time</t>
  </si>
  <si>
    <t>Final polish + supplementary materials</t>
  </si>
  <si>
    <t>1. Prepare supplementary materials:
   - Appendix A: Full query set with domains and gold annotations
   - Appendix B: Annotation guidelines given to advocates
   - Appendix C: System prompts used (FACT_COLLECTION_SYSTEM, etc.)
   - Appendix D: Per-query results table (for reproducibility)
2. Prepare code repository:
   - eval/ directory with all scripts
   - README with setup instructions
   - requirements_eval.txt with eval-specific dependencies
3. Ensure no secrets/API keys in any shared files</t>
  </si>
  <si>
    <t>Camera-ready formatting</t>
  </si>
  <si>
    <t>1. Format paper exactly per venue requirements:
   - Check: margin, font size, column layout, reference format
   - Page limit (typically 10-15 pages for journals, 8 for workshops)
2. Generate final PDF
3. Check PDF renders correctly (no missing fonts, broken figures)
4. Have someone else open the PDF and verify it looks right</t>
  </si>
  <si>
    <t>Submit</t>
  </si>
  <si>
    <t>Prepare ArXiv preprint</t>
  </si>
  <si>
    <t>1. Create ArXiv submission package:
   - LaTeX source + figures + bbl file, OR
   - PDF if venue allows it
2. Choose categories: cs.CL (primary), cs.AI, cs.IR (secondary)
3. Write ArXiv abstract (can be same as paper abstract)
4. Upload to arxiv.org — takes 1-2 days for processing
5. This establishes priority and gets community feedback immediately</t>
  </si>
  <si>
    <t>Submit to primary venue</t>
  </si>
  <si>
    <t>1. Log into the submission system for your target venue:
   - AI and Law (Springer): editorial manager portal
   - IJLT: check submission portal at nls.ac.in
2. Upload paper + supplementary materials
3. Write cover letter:
   - Brief description of the paper
   - Statement of originality
   - Suggest 2-3 potential reviewers (names + affiliations)
4. Submit!
5. Record submission date and confirmation number</t>
  </si>
  <si>
    <t>Workshop paper — short version for ACL NLLP</t>
  </si>
  <si>
    <t>1. Check ACL NLLP 2026 submission deadline
2. Create an 8-page short version focusing ONLY on:
   - Hybrid retrieval ablation study (the core technical contribution)
   - Threshold sweep analysis
   - Brief safety evaluation
3. Strip out the full opinion quality analysis (save for journal version)
4. This is a complementary submission — different contribution than the journal paper</t>
  </si>
  <si>
    <t>Workshop paper — complete and submit</t>
  </si>
  <si>
    <t>1. Complete the 8-page workshop paper
2. Format per ACL style guidelines (acl.sty LaTeX template)
3. Submit to ACL NLLP (or JURIX if deadline is better)
4. Note: mention in both papers that a companion paper exists</t>
  </si>
  <si>
    <t>Blog post / social media announcement</t>
  </si>
  <si>
    <t>1. Write a non-technical blog post (500-800 words) summarising your findings:
   - What is Nyaymalaw 3.0?
   - What did you test?
   - What did you find? (top 3 findings in plain language)
   - What does this mean for legal AI in India?
2. Post on LinkedIn with the ArXiv link
3. Share on relevant forums (legal tech India, AI India communities)
4. Tag your advocate co-annotators (with their permission)</t>
  </si>
  <si>
    <t>Buffer day — catch up on any delayed tasks</t>
  </si>
  <si>
    <t>1. Review: is everything submitted that should be?
   [ ] ArXiv preprint live
   [ ] Primary venue paper submitted
   [ ] Workshop paper submitted (if applicable)
2. Clean up eval/ directory — archive raw results
3. Update project README with links to paper, ArXiv, etc.
4. If behind schedule, use today to catch up on the most critical gap</t>
  </si>
  <si>
    <t>Buffer: address any rejected/bounced submissions</t>
  </si>
  <si>
    <t>1. Check for any desk-reject or formatting issues from venue
2. If ArXiv flagged issues, fix and re-upload
3. If a submission was rejected, retarget to backup venue:
   - JURIX 2026, ICAIL 2027, or Computer Law &amp; Security Review
4. Use time to improve the system based on eval findings</t>
  </si>
  <si>
    <t>Buffer: start system improvements from findings</t>
  </si>
  <si>
    <t>1. Based on eval results, what are the top 3 improvements to Nyaymalaw?
   Likely candidates:
   a) Rebuild FAISS index from curated-only sources
   b) Add post-generation citation verification (from citation_verifier.py)
   c) Tune MIN_RERANK_SCORE to the optimal value from threshold sweep
2. These improvements could become a follow-up paper!</t>
  </si>
  <si>
    <t>Buffer: documentation + reproducibility</t>
  </si>
  <si>
    <t>1. Ensure complete reproducibility:
   - eval/README.md has all commands to reproduce every figure and table
   - system_versions.txt has exact model versions
   - requirements_eval.txt has all Python dependencies with versions
2. Test: can someone clone your repo and run the eval from scratch?</t>
  </si>
  <si>
    <t>Buffer: respond to early ArXiv feedback</t>
  </si>
  <si>
    <t>1. Check ArXiv comments or emails from readers
2. Respond to constructive feedback
3. If significant feedback, prepare a revised version (v2) for ArXiv</t>
  </si>
  <si>
    <t>Buffer: prepare for peer review responses</t>
  </si>
  <si>
    <t>1. Journal reviews typically take 2-4 months
2. Start a 'reviewer response' template:
   - List anticipated reviewer concerns
   - Pre-prepare rebuttals or additional experiments
3. Common concerns and pre-prepared responses:
   - 'Only 100 queries' → compute power analysis showing N=100 is sufficient for your effect sizes
   - 'Only 2 annotators' → cite standard practice in legal NLP
   - 'Only one model' → discuss as limitation, propose future work</t>
  </si>
  <si>
    <t>TOTAL</t>
  </si>
  <si>
    <t>Weekly Summary &amp; Milestones</t>
  </si>
  <si>
    <t>Key Milestone</t>
  </si>
  <si>
    <t>Hours</t>
  </si>
  <si>
    <t>GPU Hrs</t>
  </si>
  <si>
    <t>Deliverable</t>
  </si>
  <si>
    <t>Queries / Setup</t>
  </si>
  <si>
    <t>Week 1 complete</t>
  </si>
  <si>
    <t>BatchEval / Queries</t>
  </si>
  <si>
    <t>Week 2 complete</t>
  </si>
  <si>
    <t>Annotate / BatchEval / Queries</t>
  </si>
  <si>
    <t>Week 3 complete</t>
  </si>
  <si>
    <t>Analysis / Annotate / BatchEval / Writing</t>
  </si>
  <si>
    <t>Week 4 complete</t>
  </si>
  <si>
    <t>Analysis / Annotate / Writing</t>
  </si>
  <si>
    <t>Week 5 complete</t>
  </si>
  <si>
    <t>Analysis / Writing</t>
  </si>
  <si>
    <t>Week 6 complete</t>
  </si>
  <si>
    <t>Week 7 complete</t>
  </si>
  <si>
    <t>Submit / Writing</t>
  </si>
  <si>
    <t>Week 8 complete</t>
  </si>
  <si>
    <t>Week 9 complete</t>
  </si>
  <si>
    <t>Week 10 complete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</si>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</sst>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14"/>
      <color rgb="FF1F4E79"/>
      <name val="Arial"/>
      <charset val="1"/>
    </font>
    <font>
      <i/>
      <sz val="10"/>
      <color rgb="FF555555"/>
      <name val="Arial"/>
      <charset val="1"/>
    </font>
    <font>
      <b/>
      <sz val="10"/>
      <color rgb="FFFFFFFF"/>
      <name val="Arial"/>
      <charset val="1"/>
    </font>
    <font>
      <sz val="9"/>
      <name val="Arial"/>
      <charset val="1"/>
    </font>
    <font>
      <b/>
      <sz val="9"/>
      <name val="Arial"/>
      <charset val="1"/>
    </font>
    <font>
      <sz val="8"/>
      <name val="Arial"/>
      <charset val="1"/>
    </font>
    <font>
      <b/>
      <sz val="10"/>
      <name val="Arial"/>
      <charset val="1"/>
    </font>
    <font>
      <b/>
      <sz val="14"/>
      <color rgb="FF1B3A5C"/>
      <name val="Arial"/>
      <charset val="1"/>
    </font>
    <font>
      <b/>
      <sz val="9"/>
      <color rgb="FF000000"/>
      <name val="Arial"/>
      <charset val="1"/>
    </font>
    <font>
      <b/>
      <sz val="9"/>
      <color rgb="FFFFFFFF"/>
      <name val="Arial"/>
      <charset val="1"/>
    </font>
    <font>
      <sz val="9"/>
      <color rgb="FF000000"/>
      <name val="Arial"/>
      <charset val="1"/>
    </font>
    <font>
      <sz val="9"/>
      <color rgb="FF0000FF"/>
      <name val="Arial"/>
      <charset val="1"/>
    </font>
    <font>
      <sz val="9"/>
      <color rgb="FFC73E1D"/>
      <name val="Arial"/>
      <charset val="1"/>
    </font>
    <font>
      <sz val="8"/>
      <color rgb="FF555555"/>
      <name val="Arial"/>
      <charset val="1"/>
    </font>
    <font>
      <sz val="9"/>
      <color rgb="FF999999"/>
      <name val="Arial"/>
      <charset val="1"/>
    </font>
    <font>
      <b/>
      <sz val="9"/>
      <color rgb="FFC73E1D"/>
      <name val="Arial"/>
      <charset val="1"/>
    </font>
  </fonts>
  <fills count="19">
    <fill>
      <patternFill patternType="none"/>
    </fill>
    <fill>
      <patternFill patternType="gray125"/>
    </fill>
    <fill>
      <patternFill patternType="solid">
        <fgColor rgb="FF1F4E79"/>
        <bgColor rgb="FF1B3A5C"/>
      </patternFill>
    </fill>
    <fill>
      <patternFill patternType="solid">
        <fgColor rgb="FFD6EAF8"/>
        <bgColor rgb="FFD4EFDF"/>
      </patternFill>
    </fill>
    <fill>
      <patternFill patternType="solid">
        <fgColor rgb="FFD5F5E3"/>
        <bgColor rgb="FFD4EFDF"/>
      </patternFill>
    </fill>
    <fill>
      <patternFill patternType="solid">
        <fgColor rgb="FFFFF3E0"/>
        <bgColor rgb="FFFCF3CF"/>
      </patternFill>
    </fill>
    <fill>
      <patternFill patternType="solid">
        <fgColor rgb="FFFCF3CF"/>
        <bgColor rgb="FFFFF3E0"/>
      </patternFill>
    </fill>
    <fill>
      <patternFill patternType="solid">
        <fgColor rgb="FFFADBD8"/>
        <bgColor rgb="FFE8DAEF"/>
      </patternFill>
    </fill>
    <fill>
      <patternFill patternType="solid">
        <fgColor rgb="FFE8DAEF"/>
        <bgColor rgb="FFFADBD8"/>
      </patternFill>
    </fill>
    <fill>
      <patternFill patternType="solid">
        <fgColor rgb="FFF2F3F4"/>
        <bgColor rgb="FFFFF3E0"/>
      </patternFill>
    </fill>
    <fill>
      <patternFill patternType="solid">
        <fgColor rgb="FFD4EFDF"/>
        <bgColor rgb="FFD5F5E3"/>
      </patternFill>
    </fill>
    <fill>
      <patternFill patternType="solid">
        <fgColor rgb="FF1B3A5C"/>
        <bgColor rgb="FF1F4E79"/>
      </patternFill>
    </fill>
    <fill>
      <patternFill patternType="solid">
        <fgColor rgb="FF3498DB"/>
        <bgColor rgb="FF2E86AB"/>
      </patternFill>
    </fill>
    <fill>
      <patternFill patternType="solid">
        <fgColor rgb="FF2ECC71"/>
        <bgColor rgb="FF1ABC9C"/>
      </patternFill>
    </fill>
    <fill>
      <patternFill patternType="solid">
        <fgColor rgb="FF2E86AB"/>
        <bgColor rgb="FF3498DB"/>
      </patternFill>
    </fill>
    <fill>
      <patternFill patternType="solid">
        <fgColor rgb="FF1ABC9C"/>
        <bgColor rgb="FF2ECC71"/>
      </patternFill>
    </fill>
    <fill>
      <patternFill patternType="solid">
        <fgColor rgb="FFF39C12"/>
        <bgColor rgb="FFFFCC00"/>
      </patternFill>
    </fill>
    <fill>
      <patternFill patternType="solid">
        <fgColor rgb="FF9B59B6"/>
        <bgColor rgb="FF993366"/>
      </patternFill>
    </fill>
    <fill>
      <patternFill patternType="solid">
        <fgColor rgb="FF27AE60"/>
        <bgColor rgb="FF1ABC9C"/>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5">
    <xf numFmtId="0" fontId="0" fillId="0" borderId="0" xfId="0"/>
    <xf numFmtId="0" fontId="8" fillId="0" borderId="0" xfId="0" applyFont="1"/>
    <xf numFmtId="0" fontId="2" fillId="0" borderId="0" xfId="0" applyFont="1"/>
    <xf numFmtId="0" fontId="1" fillId="0" borderId="0" xfId="0" applyFont="1"/>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5"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5"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5"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5" fillId="9" borderId="1" xfId="0" applyFont="1" applyFill="1" applyBorder="1" applyAlignment="1">
      <alignment horizontal="center" vertical="center"/>
    </xf>
    <xf numFmtId="0" fontId="4" fillId="10" borderId="1" xfId="0" applyFont="1" applyFill="1" applyBorder="1" applyAlignment="1">
      <alignment horizontal="center" vertical="center"/>
    </xf>
    <xf numFmtId="0" fontId="5" fillId="10" borderId="1" xfId="0" applyFont="1" applyFill="1" applyBorder="1" applyAlignment="1">
      <alignment horizontal="center" vertical="center"/>
    </xf>
    <xf numFmtId="0" fontId="7" fillId="0" borderId="0" xfId="0" applyFont="1"/>
    <xf numFmtId="0" fontId="3" fillId="11" borderId="2" xfId="0" applyFont="1" applyFill="1" applyBorder="1" applyAlignment="1">
      <alignment horizontal="center" vertical="center" wrapText="1"/>
    </xf>
    <xf numFmtId="0" fontId="9" fillId="0" borderId="2" xfId="0" applyFont="1" applyBorder="1" applyAlignment="1">
      <alignment horizontal="center" vertical="center" wrapText="1"/>
    </xf>
    <xf numFmtId="0" fontId="10" fillId="12" borderId="2" xfId="0" applyFont="1" applyFill="1" applyBorder="1" applyAlignment="1">
      <alignment horizontal="center" vertical="center" wrapText="1"/>
    </xf>
    <xf numFmtId="0" fontId="11" fillId="0" borderId="2" xfId="0" applyFont="1" applyBorder="1" applyAlignment="1">
      <alignment horizontal="left" vertical="top" wrapText="1"/>
    </xf>
    <xf numFmtId="0" fontId="12"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14" fillId="0" borderId="2" xfId="0" applyFont="1" applyBorder="1" applyAlignment="1">
      <alignment horizontal="left" vertical="top" wrapText="1"/>
    </xf>
    <xf numFmtId="0" fontId="10" fillId="13" borderId="2" xfId="0" applyFont="1" applyFill="1" applyBorder="1" applyAlignment="1">
      <alignment horizontal="center" vertical="center" wrapText="1"/>
    </xf>
    <xf numFmtId="0" fontId="15" fillId="0" borderId="2" xfId="0" applyFont="1" applyBorder="1" applyAlignment="1">
      <alignment horizontal="center" vertical="center" wrapText="1"/>
    </xf>
    <xf numFmtId="0" fontId="10" fillId="14" borderId="2" xfId="0" applyFont="1" applyFill="1" applyBorder="1" applyAlignment="1">
      <alignment horizontal="center" vertical="center" wrapText="1"/>
    </xf>
    <xf numFmtId="0" fontId="10" fillId="15" borderId="2"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0" fillId="17" borderId="2" xfId="0" applyFont="1" applyFill="1" applyBorder="1" applyAlignment="1">
      <alignment horizontal="center" vertical="center" wrapText="1"/>
    </xf>
    <xf numFmtId="0" fontId="10" fillId="18" borderId="2"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16" fillId="0" borderId="2" xfId="0" applyFont="1" applyBorder="1" applyAlignment="1">
      <alignment horizontal="center" vertical="center" wrapText="1"/>
    </xf>
    <xf numFmtId="16" fontId="4" fillId="3" borderId="1" xfId="0" applyNumberFormat="1" applyFont="1" applyFill="1" applyBorder="1" applyAlignment="1">
      <alignment horizontal="center" vertical="center"/>
    </xf>
    <xf numFmtId="0" fontId="4" fillId="3" borderId="1" xfId="0" applyFont="1" applyFill="1" applyBorder="1" applyAlignment="1">
      <alignment vertical="top"/>
    </xf>
    <xf numFmtId="0" fontId="6" fillId="3" borderId="1" xfId="0" applyFont="1" applyFill="1" applyBorder="1" applyAlignment="1">
      <alignment vertical="top"/>
    </xf>
    <xf numFmtId="0" fontId="4" fillId="4" borderId="1" xfId="0" applyFont="1" applyFill="1" applyBorder="1" applyAlignment="1">
      <alignment vertical="top"/>
    </xf>
    <xf numFmtId="0" fontId="6" fillId="4" borderId="1" xfId="0" applyFont="1" applyFill="1" applyBorder="1" applyAlignment="1">
      <alignment vertical="top"/>
    </xf>
    <xf numFmtId="0" fontId="4" fillId="5" borderId="1" xfId="0" applyFont="1" applyFill="1" applyBorder="1" applyAlignment="1">
      <alignment vertical="top"/>
    </xf>
    <xf numFmtId="0" fontId="6" fillId="5" borderId="1" xfId="0" applyFont="1" applyFill="1" applyBorder="1" applyAlignment="1">
      <alignment vertical="top"/>
    </xf>
    <xf numFmtId="0" fontId="4" fillId="6" borderId="1" xfId="0" applyFont="1" applyFill="1" applyBorder="1" applyAlignment="1">
      <alignment vertical="top"/>
    </xf>
    <xf numFmtId="0" fontId="6" fillId="6" borderId="1" xfId="0" applyFont="1" applyFill="1" applyBorder="1" applyAlignment="1">
      <alignment vertical="top"/>
    </xf>
    <xf numFmtId="0" fontId="4" fillId="7" borderId="1" xfId="0" applyFont="1" applyFill="1" applyBorder="1" applyAlignment="1">
      <alignment vertical="top"/>
    </xf>
    <xf numFmtId="0" fontId="6" fillId="7" borderId="1" xfId="0" applyFont="1" applyFill="1" applyBorder="1" applyAlignment="1">
      <alignment vertical="top"/>
    </xf>
    <xf numFmtId="0" fontId="4" fillId="8" borderId="1" xfId="0" applyFont="1" applyFill="1" applyBorder="1" applyAlignment="1">
      <alignment vertical="top"/>
    </xf>
    <xf numFmtId="0" fontId="6" fillId="8" borderId="1" xfId="0" applyFont="1" applyFill="1" applyBorder="1" applyAlignment="1">
      <alignment vertical="top"/>
    </xf>
    <xf numFmtId="0" fontId="4" fillId="9" borderId="1" xfId="0" applyFont="1" applyFill="1" applyBorder="1" applyAlignment="1">
      <alignment vertical="top"/>
    </xf>
    <xf numFmtId="0" fontId="6" fillId="9" borderId="1" xfId="0" applyFont="1" applyFill="1" applyBorder="1" applyAlignment="1">
      <alignment vertical="top"/>
    </xf>
    <xf numFmtId="0" fontId="4" fillId="10" borderId="1" xfId="0" applyFont="1" applyFill="1" applyBorder="1" applyAlignment="1">
      <alignment vertical="top"/>
    </xf>
    <xf numFmtId="0" fontId="6" fillId="10" borderId="1" xfId="0" applyFont="1" applyFill="1" applyBorder="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86AB"/>
      <rgbColor rgb="FFCCCCCC"/>
      <rgbColor rgb="FF9B59B6"/>
      <rgbColor rgb="FFB0B0B0"/>
      <rgbColor rgb="FF993366"/>
      <rgbColor rgb="FFFCF3CF"/>
      <rgbColor rgb="FFD4EFDF"/>
      <rgbColor rgb="FF660066"/>
      <rgbColor rgb="FFFF8080"/>
      <rgbColor rgb="FF0066CC"/>
      <rgbColor rgb="FFE8DAEF"/>
      <rgbColor rgb="FF000080"/>
      <rgbColor rgb="FFFF00FF"/>
      <rgbColor rgb="FFFFFF00"/>
      <rgbColor rgb="FF00FFFF"/>
      <rgbColor rgb="FF800080"/>
      <rgbColor rgb="FF800000"/>
      <rgbColor rgb="FF008080"/>
      <rgbColor rgb="FF0000FF"/>
      <rgbColor rgb="FF2ECC71"/>
      <rgbColor rgb="FFD6EAF8"/>
      <rgbColor rgb="FFD5F5E3"/>
      <rgbColor rgb="FFFFF3E0"/>
      <rgbColor rgb="FFF2F3F4"/>
      <rgbColor rgb="FFFF99CC"/>
      <rgbColor rgb="FFCC99FF"/>
      <rgbColor rgb="FFFADBD8"/>
      <rgbColor rgb="FF3498DB"/>
      <rgbColor rgb="FF1ABC9C"/>
      <rgbColor rgb="FF99CC00"/>
      <rgbColor rgb="FFFFCC00"/>
      <rgbColor rgb="FFF39C12"/>
      <rgbColor rgb="FFFF6600"/>
      <rgbColor rgb="FF555555"/>
      <rgbColor rgb="FF999999"/>
      <rgbColor rgb="FF1B3A5C"/>
      <rgbColor rgb="FF27AE60"/>
      <rgbColor rgb="FF003300"/>
      <rgbColor rgb="FF333300"/>
      <rgbColor rgb="FFC73E1D"/>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tabSelected="1" zoomScaleNormal="100" workbookViewId="0">
      <pane ySplit="4" topLeftCell="A5" activePane="bottomLeft" state="frozen"/>
      <selection pane="bottomLeft" activeCell="F9" sqref="F9"/>
    </sheetView>
  </sheetViews>
  <sheetFormatPr defaultColWidth="8.6640625" defaultRowHeight="15" customHeight="1" x14ac:dyDescent="0.3"/>
  <cols>
    <col min="1" max="1" width="5" customWidth="1"/>
    <col min="2" max="2" width="6" customWidth="1"/>
    <col min="3" max="4" width="7" customWidth="1"/>
    <col min="5" max="5" width="10" customWidth="1"/>
    <col min="6" max="6" width="45" customWidth="1"/>
    <col min="7" max="7" width="5" customWidth="1"/>
    <col min="8" max="8" width="4" customWidth="1"/>
    <col min="9" max="9" width="80" customWidth="1"/>
    <col min="10" max="10" width="13" customWidth="1"/>
  </cols>
  <sheetData>
    <row r="1" spans="1:10" ht="17.399999999999999" x14ac:dyDescent="0.3">
      <c r="A1" s="3" t="s">
        <v>0</v>
      </c>
      <c r="B1" s="3"/>
      <c r="C1" s="3"/>
      <c r="D1" s="3"/>
      <c r="E1" s="3"/>
      <c r="F1" s="3"/>
      <c r="G1" s="3"/>
      <c r="H1" s="3"/>
      <c r="I1" s="3"/>
      <c r="J1" s="3"/>
    </row>
    <row r="2" spans="1:10" ht="14.4" x14ac:dyDescent="0.3">
      <c r="A2" s="2" t="s">
        <v>1</v>
      </c>
      <c r="B2" s="2"/>
      <c r="C2" s="2"/>
      <c r="D2" s="2"/>
      <c r="E2" s="2"/>
      <c r="F2" s="2"/>
      <c r="G2" s="2"/>
      <c r="H2" s="2"/>
      <c r="I2" s="2"/>
      <c r="J2" s="2"/>
    </row>
    <row r="4" spans="1:10" ht="14.4" x14ac:dyDescent="0.3">
      <c r="A4" s="4" t="s">
        <v>2</v>
      </c>
      <c r="B4" s="4" t="s">
        <v>3</v>
      </c>
      <c r="C4" s="4" t="s">
        <v>4</v>
      </c>
      <c r="D4" s="4" t="s">
        <v>179</v>
      </c>
      <c r="E4" s="4" t="s">
        <v>5</v>
      </c>
      <c r="F4" s="4" t="s">
        <v>6</v>
      </c>
      <c r="G4" s="4" t="s">
        <v>7</v>
      </c>
      <c r="H4" s="4" t="s">
        <v>8</v>
      </c>
      <c r="I4" s="4" t="s">
        <v>9</v>
      </c>
      <c r="J4" s="4" t="s">
        <v>10</v>
      </c>
    </row>
    <row r="5" spans="1:10" ht="14.4" x14ac:dyDescent="0.3">
      <c r="A5" s="5">
        <v>1</v>
      </c>
      <c r="B5" s="5">
        <v>1</v>
      </c>
      <c r="C5" s="5" t="s">
        <v>11</v>
      </c>
      <c r="D5" s="38">
        <v>46072</v>
      </c>
      <c r="E5" s="6" t="s">
        <v>12</v>
      </c>
      <c r="F5" s="39" t="s">
        <v>13</v>
      </c>
      <c r="G5" s="5">
        <v>2</v>
      </c>
      <c r="H5" s="5"/>
      <c r="I5" s="40" t="s">
        <v>14</v>
      </c>
      <c r="J5" s="5" t="s">
        <v>15</v>
      </c>
    </row>
    <row r="6" spans="1:10" ht="14.4" x14ac:dyDescent="0.3">
      <c r="A6" s="5">
        <v>2</v>
      </c>
      <c r="B6" s="5">
        <v>1</v>
      </c>
      <c r="C6" s="5" t="s">
        <v>16</v>
      </c>
      <c r="D6" s="38">
        <f>D5+1</f>
        <v>46073</v>
      </c>
      <c r="E6" s="6" t="s">
        <v>12</v>
      </c>
      <c r="F6" s="39" t="s">
        <v>17</v>
      </c>
      <c r="G6" s="5">
        <v>2</v>
      </c>
      <c r="H6" s="5" t="s">
        <v>8</v>
      </c>
      <c r="I6" s="40" t="s">
        <v>18</v>
      </c>
      <c r="J6" s="5" t="s">
        <v>15</v>
      </c>
    </row>
    <row r="7" spans="1:10" ht="14.4" x14ac:dyDescent="0.3">
      <c r="A7" s="5">
        <v>3</v>
      </c>
      <c r="B7" s="5">
        <v>1</v>
      </c>
      <c r="C7" s="5" t="s">
        <v>19</v>
      </c>
      <c r="D7" s="38">
        <f t="shared" ref="D7:D69" si="0">D6+1</f>
        <v>46074</v>
      </c>
      <c r="E7" s="6" t="s">
        <v>12</v>
      </c>
      <c r="F7" s="39" t="s">
        <v>20</v>
      </c>
      <c r="G7" s="5">
        <v>2</v>
      </c>
      <c r="H7" s="5"/>
      <c r="I7" s="40" t="s">
        <v>21</v>
      </c>
      <c r="J7" s="5" t="s">
        <v>15</v>
      </c>
    </row>
    <row r="8" spans="1:10" ht="14.4" x14ac:dyDescent="0.3">
      <c r="A8" s="5">
        <v>4</v>
      </c>
      <c r="B8" s="5">
        <v>1</v>
      </c>
      <c r="C8" s="5" t="s">
        <v>22</v>
      </c>
      <c r="D8" s="38">
        <f t="shared" si="0"/>
        <v>46075</v>
      </c>
      <c r="E8" s="6" t="s">
        <v>12</v>
      </c>
      <c r="F8" s="39" t="s">
        <v>23</v>
      </c>
      <c r="G8" s="5">
        <v>2</v>
      </c>
      <c r="H8" s="5"/>
      <c r="I8" s="40" t="s">
        <v>24</v>
      </c>
      <c r="J8" s="5" t="s">
        <v>15</v>
      </c>
    </row>
    <row r="9" spans="1:10" ht="14.4" x14ac:dyDescent="0.3">
      <c r="A9" s="7">
        <v>5</v>
      </c>
      <c r="B9" s="7">
        <v>1</v>
      </c>
      <c r="C9" s="7" t="s">
        <v>25</v>
      </c>
      <c r="D9" s="38">
        <f t="shared" si="0"/>
        <v>46076</v>
      </c>
      <c r="E9" s="8" t="s">
        <v>26</v>
      </c>
      <c r="F9" s="41" t="s">
        <v>27</v>
      </c>
      <c r="G9" s="7">
        <v>2</v>
      </c>
      <c r="H9" s="7"/>
      <c r="I9" s="42" t="s">
        <v>28</v>
      </c>
      <c r="J9" s="7" t="s">
        <v>15</v>
      </c>
    </row>
    <row r="10" spans="1:10" ht="14.4" x14ac:dyDescent="0.3">
      <c r="A10" s="9">
        <v>6</v>
      </c>
      <c r="B10" s="9">
        <v>1</v>
      </c>
      <c r="C10" s="9" t="s">
        <v>29</v>
      </c>
      <c r="D10" s="38">
        <f t="shared" si="0"/>
        <v>46077</v>
      </c>
      <c r="E10" s="10" t="s">
        <v>26</v>
      </c>
      <c r="F10" s="43" t="s">
        <v>30</v>
      </c>
      <c r="G10" s="9">
        <v>5</v>
      </c>
      <c r="H10" s="9"/>
      <c r="I10" s="44" t="s">
        <v>31</v>
      </c>
      <c r="J10" s="9" t="s">
        <v>15</v>
      </c>
    </row>
    <row r="11" spans="1:10" ht="14.4" x14ac:dyDescent="0.3">
      <c r="A11" s="9">
        <v>7</v>
      </c>
      <c r="B11" s="9">
        <v>1</v>
      </c>
      <c r="C11" s="9" t="s">
        <v>32</v>
      </c>
      <c r="D11" s="38">
        <f t="shared" si="0"/>
        <v>46078</v>
      </c>
      <c r="E11" s="10" t="s">
        <v>26</v>
      </c>
      <c r="F11" s="43" t="s">
        <v>33</v>
      </c>
      <c r="G11" s="9">
        <v>5</v>
      </c>
      <c r="H11" s="9"/>
      <c r="I11" s="44" t="s">
        <v>34</v>
      </c>
      <c r="J11" s="9" t="s">
        <v>15</v>
      </c>
    </row>
    <row r="12" spans="1:10" ht="14.4" x14ac:dyDescent="0.3">
      <c r="A12" s="7">
        <v>8</v>
      </c>
      <c r="B12" s="7">
        <v>2</v>
      </c>
      <c r="C12" s="7" t="s">
        <v>11</v>
      </c>
      <c r="D12" s="38">
        <f t="shared" si="0"/>
        <v>46079</v>
      </c>
      <c r="E12" s="8" t="s">
        <v>26</v>
      </c>
      <c r="F12" s="41" t="s">
        <v>35</v>
      </c>
      <c r="G12" s="7">
        <v>2</v>
      </c>
      <c r="H12" s="7"/>
      <c r="I12" s="42" t="s">
        <v>36</v>
      </c>
      <c r="J12" s="7" t="s">
        <v>15</v>
      </c>
    </row>
    <row r="13" spans="1:10" ht="14.4" x14ac:dyDescent="0.3">
      <c r="A13" s="7">
        <v>9</v>
      </c>
      <c r="B13" s="7">
        <v>2</v>
      </c>
      <c r="C13" s="7" t="s">
        <v>16</v>
      </c>
      <c r="D13" s="38">
        <f t="shared" si="0"/>
        <v>46080</v>
      </c>
      <c r="E13" s="8" t="s">
        <v>26</v>
      </c>
      <c r="F13" s="41" t="s">
        <v>37</v>
      </c>
      <c r="G13" s="7">
        <v>2</v>
      </c>
      <c r="H13" s="7"/>
      <c r="I13" s="42" t="s">
        <v>38</v>
      </c>
      <c r="J13" s="7" t="s">
        <v>15</v>
      </c>
    </row>
    <row r="14" spans="1:10" ht="14.4" x14ac:dyDescent="0.3">
      <c r="A14" s="7">
        <v>10</v>
      </c>
      <c r="B14" s="7">
        <v>2</v>
      </c>
      <c r="C14" s="7" t="s">
        <v>19</v>
      </c>
      <c r="D14" s="38">
        <f t="shared" si="0"/>
        <v>46081</v>
      </c>
      <c r="E14" s="8" t="s">
        <v>26</v>
      </c>
      <c r="F14" s="41" t="s">
        <v>39</v>
      </c>
      <c r="G14" s="7">
        <v>2</v>
      </c>
      <c r="H14" s="7"/>
      <c r="I14" s="42" t="s">
        <v>40</v>
      </c>
      <c r="J14" s="7" t="s">
        <v>15</v>
      </c>
    </row>
    <row r="15" spans="1:10" ht="14.4" x14ac:dyDescent="0.3">
      <c r="A15" s="7">
        <v>11</v>
      </c>
      <c r="B15" s="7">
        <v>2</v>
      </c>
      <c r="C15" s="7" t="s">
        <v>22</v>
      </c>
      <c r="D15" s="38">
        <f t="shared" si="0"/>
        <v>46082</v>
      </c>
      <c r="E15" s="8" t="s">
        <v>26</v>
      </c>
      <c r="F15" s="41" t="s">
        <v>41</v>
      </c>
      <c r="G15" s="7">
        <v>2</v>
      </c>
      <c r="H15" s="7"/>
      <c r="I15" s="42" t="s">
        <v>42</v>
      </c>
      <c r="J15" s="7" t="s">
        <v>15</v>
      </c>
    </row>
    <row r="16" spans="1:10" ht="14.4" x14ac:dyDescent="0.3">
      <c r="A16" s="7">
        <v>12</v>
      </c>
      <c r="B16" s="7">
        <v>2</v>
      </c>
      <c r="C16" s="7" t="s">
        <v>25</v>
      </c>
      <c r="D16" s="38">
        <f t="shared" si="0"/>
        <v>46083</v>
      </c>
      <c r="E16" s="8" t="s">
        <v>26</v>
      </c>
      <c r="F16" s="41" t="s">
        <v>43</v>
      </c>
      <c r="G16" s="7">
        <v>2</v>
      </c>
      <c r="H16" s="7"/>
      <c r="I16" s="42" t="s">
        <v>44</v>
      </c>
      <c r="J16" s="7" t="s">
        <v>15</v>
      </c>
    </row>
    <row r="17" spans="1:10" ht="14.4" x14ac:dyDescent="0.3">
      <c r="A17" s="9">
        <v>13</v>
      </c>
      <c r="B17" s="9">
        <v>2</v>
      </c>
      <c r="C17" s="9" t="s">
        <v>29</v>
      </c>
      <c r="D17" s="38">
        <f t="shared" si="0"/>
        <v>46084</v>
      </c>
      <c r="E17" s="10" t="s">
        <v>26</v>
      </c>
      <c r="F17" s="43" t="s">
        <v>45</v>
      </c>
      <c r="G17" s="9">
        <v>5</v>
      </c>
      <c r="H17" s="9"/>
      <c r="I17" s="44" t="s">
        <v>46</v>
      </c>
      <c r="J17" s="9" t="s">
        <v>15</v>
      </c>
    </row>
    <row r="18" spans="1:10" ht="14.4" x14ac:dyDescent="0.3">
      <c r="A18" s="9">
        <v>14</v>
      </c>
      <c r="B18" s="9">
        <v>2</v>
      </c>
      <c r="C18" s="9" t="s">
        <v>32</v>
      </c>
      <c r="D18" s="38">
        <f t="shared" si="0"/>
        <v>46085</v>
      </c>
      <c r="E18" s="10" t="s">
        <v>47</v>
      </c>
      <c r="F18" s="43" t="s">
        <v>48</v>
      </c>
      <c r="G18" s="9">
        <v>5</v>
      </c>
      <c r="H18" s="9" t="s">
        <v>8</v>
      </c>
      <c r="I18" s="44" t="s">
        <v>49</v>
      </c>
      <c r="J18" s="9" t="s">
        <v>15</v>
      </c>
    </row>
    <row r="19" spans="1:10" ht="14.4" x14ac:dyDescent="0.3">
      <c r="A19" s="7">
        <v>15</v>
      </c>
      <c r="B19" s="7">
        <v>3</v>
      </c>
      <c r="C19" s="7" t="s">
        <v>11</v>
      </c>
      <c r="D19" s="38">
        <f t="shared" si="0"/>
        <v>46086</v>
      </c>
      <c r="E19" s="8" t="s">
        <v>26</v>
      </c>
      <c r="F19" s="41" t="s">
        <v>50</v>
      </c>
      <c r="G19" s="7">
        <v>2</v>
      </c>
      <c r="H19" s="7"/>
      <c r="I19" s="42" t="s">
        <v>51</v>
      </c>
      <c r="J19" s="7" t="s">
        <v>15</v>
      </c>
    </row>
    <row r="20" spans="1:10" ht="14.4" x14ac:dyDescent="0.3">
      <c r="A20" s="7">
        <v>16</v>
      </c>
      <c r="B20" s="7">
        <v>3</v>
      </c>
      <c r="C20" s="7" t="s">
        <v>16</v>
      </c>
      <c r="D20" s="38">
        <f t="shared" si="0"/>
        <v>46087</v>
      </c>
      <c r="E20" s="8" t="s">
        <v>26</v>
      </c>
      <c r="F20" s="41" t="s">
        <v>52</v>
      </c>
      <c r="G20" s="7">
        <v>2</v>
      </c>
      <c r="H20" s="7"/>
      <c r="I20" s="42" t="s">
        <v>53</v>
      </c>
      <c r="J20" s="7" t="s">
        <v>15</v>
      </c>
    </row>
    <row r="21" spans="1:10" ht="14.4" x14ac:dyDescent="0.3">
      <c r="A21" s="7">
        <v>17</v>
      </c>
      <c r="B21" s="7">
        <v>3</v>
      </c>
      <c r="C21" s="7" t="s">
        <v>19</v>
      </c>
      <c r="D21" s="38">
        <f t="shared" si="0"/>
        <v>46088</v>
      </c>
      <c r="E21" s="8" t="s">
        <v>26</v>
      </c>
      <c r="F21" s="41" t="s">
        <v>54</v>
      </c>
      <c r="G21" s="7">
        <v>2</v>
      </c>
      <c r="H21" s="7"/>
      <c r="I21" s="42" t="s">
        <v>55</v>
      </c>
      <c r="J21" s="7" t="s">
        <v>15</v>
      </c>
    </row>
    <row r="22" spans="1:10" ht="14.4" x14ac:dyDescent="0.3">
      <c r="A22" s="11">
        <v>18</v>
      </c>
      <c r="B22" s="11">
        <v>3</v>
      </c>
      <c r="C22" s="11" t="s">
        <v>22</v>
      </c>
      <c r="D22" s="38">
        <f t="shared" si="0"/>
        <v>46089</v>
      </c>
      <c r="E22" s="12" t="s">
        <v>56</v>
      </c>
      <c r="F22" s="45" t="s">
        <v>57</v>
      </c>
      <c r="G22" s="11">
        <v>2</v>
      </c>
      <c r="H22" s="11"/>
      <c r="I22" s="46" t="s">
        <v>58</v>
      </c>
      <c r="J22" s="11" t="s">
        <v>15</v>
      </c>
    </row>
    <row r="23" spans="1:10" ht="14.4" x14ac:dyDescent="0.3">
      <c r="A23" s="13">
        <v>19</v>
      </c>
      <c r="B23" s="13">
        <v>3</v>
      </c>
      <c r="C23" s="13" t="s">
        <v>25</v>
      </c>
      <c r="D23" s="38">
        <f t="shared" si="0"/>
        <v>46090</v>
      </c>
      <c r="E23" s="14" t="s">
        <v>47</v>
      </c>
      <c r="F23" s="47" t="s">
        <v>59</v>
      </c>
      <c r="G23" s="13">
        <v>2</v>
      </c>
      <c r="H23" s="13" t="s">
        <v>8</v>
      </c>
      <c r="I23" s="48" t="s">
        <v>60</v>
      </c>
      <c r="J23" s="13" t="s">
        <v>15</v>
      </c>
    </row>
    <row r="24" spans="1:10" ht="14.4" x14ac:dyDescent="0.3">
      <c r="A24" s="9">
        <v>20</v>
      </c>
      <c r="B24" s="9">
        <v>3</v>
      </c>
      <c r="C24" s="9" t="s">
        <v>29</v>
      </c>
      <c r="D24" s="38">
        <f t="shared" si="0"/>
        <v>46091</v>
      </c>
      <c r="E24" s="10" t="s">
        <v>56</v>
      </c>
      <c r="F24" s="43" t="s">
        <v>61</v>
      </c>
      <c r="G24" s="9">
        <v>5</v>
      </c>
      <c r="H24" s="9"/>
      <c r="I24" s="44" t="s">
        <v>62</v>
      </c>
      <c r="J24" s="9" t="s">
        <v>15</v>
      </c>
    </row>
    <row r="25" spans="1:10" ht="14.4" x14ac:dyDescent="0.3">
      <c r="A25" s="9">
        <v>21</v>
      </c>
      <c r="B25" s="9">
        <v>3</v>
      </c>
      <c r="C25" s="9" t="s">
        <v>32</v>
      </c>
      <c r="D25" s="38">
        <f t="shared" si="0"/>
        <v>46092</v>
      </c>
      <c r="E25" s="10" t="s">
        <v>56</v>
      </c>
      <c r="F25" s="43" t="s">
        <v>63</v>
      </c>
      <c r="G25" s="9">
        <v>5</v>
      </c>
      <c r="H25" s="9"/>
      <c r="I25" s="44" t="s">
        <v>64</v>
      </c>
      <c r="J25" s="9" t="s">
        <v>15</v>
      </c>
    </row>
    <row r="26" spans="1:10" ht="14.4" x14ac:dyDescent="0.3">
      <c r="A26" s="13">
        <v>22</v>
      </c>
      <c r="B26" s="13">
        <v>4</v>
      </c>
      <c r="C26" s="13" t="s">
        <v>11</v>
      </c>
      <c r="D26" s="38">
        <f t="shared" si="0"/>
        <v>46093</v>
      </c>
      <c r="E26" s="14" t="s">
        <v>47</v>
      </c>
      <c r="F26" s="47" t="s">
        <v>65</v>
      </c>
      <c r="G26" s="13">
        <v>2</v>
      </c>
      <c r="H26" s="13"/>
      <c r="I26" s="48" t="s">
        <v>66</v>
      </c>
      <c r="J26" s="13" t="s">
        <v>15</v>
      </c>
    </row>
    <row r="27" spans="1:10" ht="14.4" x14ac:dyDescent="0.3">
      <c r="A27" s="13">
        <v>23</v>
      </c>
      <c r="B27" s="13">
        <v>4</v>
      </c>
      <c r="C27" s="13" t="s">
        <v>16</v>
      </c>
      <c r="D27" s="38">
        <f t="shared" si="0"/>
        <v>46094</v>
      </c>
      <c r="E27" s="14" t="s">
        <v>47</v>
      </c>
      <c r="F27" s="47" t="s">
        <v>67</v>
      </c>
      <c r="G27" s="13">
        <v>2</v>
      </c>
      <c r="H27" s="13"/>
      <c r="I27" s="48" t="s">
        <v>68</v>
      </c>
      <c r="J27" s="13" t="s">
        <v>15</v>
      </c>
    </row>
    <row r="28" spans="1:10" ht="14.4" x14ac:dyDescent="0.3">
      <c r="A28" s="15">
        <v>24</v>
      </c>
      <c r="B28" s="15">
        <v>4</v>
      </c>
      <c r="C28" s="15" t="s">
        <v>19</v>
      </c>
      <c r="D28" s="38">
        <f t="shared" si="0"/>
        <v>46095</v>
      </c>
      <c r="E28" s="16" t="s">
        <v>69</v>
      </c>
      <c r="F28" s="49" t="s">
        <v>70</v>
      </c>
      <c r="G28" s="15">
        <v>2</v>
      </c>
      <c r="H28" s="15"/>
      <c r="I28" s="50" t="s">
        <v>71</v>
      </c>
      <c r="J28" s="15" t="s">
        <v>15</v>
      </c>
    </row>
    <row r="29" spans="1:10" ht="14.4" x14ac:dyDescent="0.3">
      <c r="A29" s="11">
        <v>25</v>
      </c>
      <c r="B29" s="11">
        <v>4</v>
      </c>
      <c r="C29" s="11" t="s">
        <v>22</v>
      </c>
      <c r="D29" s="38">
        <f t="shared" si="0"/>
        <v>46096</v>
      </c>
      <c r="E29" s="12" t="s">
        <v>56</v>
      </c>
      <c r="F29" s="45" t="s">
        <v>72</v>
      </c>
      <c r="G29" s="11">
        <v>2</v>
      </c>
      <c r="H29" s="11"/>
      <c r="I29" s="46" t="s">
        <v>73</v>
      </c>
      <c r="J29" s="11" t="s">
        <v>15</v>
      </c>
    </row>
    <row r="30" spans="1:10" ht="14.4" x14ac:dyDescent="0.3">
      <c r="A30" s="17">
        <v>26</v>
      </c>
      <c r="B30" s="17">
        <v>4</v>
      </c>
      <c r="C30" s="17" t="s">
        <v>25</v>
      </c>
      <c r="D30" s="38">
        <f t="shared" si="0"/>
        <v>46097</v>
      </c>
      <c r="E30" s="18" t="s">
        <v>74</v>
      </c>
      <c r="F30" s="51" t="s">
        <v>75</v>
      </c>
      <c r="G30" s="17">
        <v>2</v>
      </c>
      <c r="H30" s="17"/>
      <c r="I30" s="52" t="s">
        <v>76</v>
      </c>
      <c r="J30" s="17" t="s">
        <v>15</v>
      </c>
    </row>
    <row r="31" spans="1:10" ht="14.4" x14ac:dyDescent="0.3">
      <c r="A31" s="9">
        <v>27</v>
      </c>
      <c r="B31" s="9">
        <v>4</v>
      </c>
      <c r="C31" s="9" t="s">
        <v>29</v>
      </c>
      <c r="D31" s="38">
        <f t="shared" si="0"/>
        <v>46098</v>
      </c>
      <c r="E31" s="10" t="s">
        <v>74</v>
      </c>
      <c r="F31" s="43" t="s">
        <v>77</v>
      </c>
      <c r="G31" s="9">
        <v>5</v>
      </c>
      <c r="H31" s="9"/>
      <c r="I31" s="44" t="s">
        <v>78</v>
      </c>
      <c r="J31" s="9" t="s">
        <v>15</v>
      </c>
    </row>
    <row r="32" spans="1:10" ht="14.4" x14ac:dyDescent="0.3">
      <c r="A32" s="9">
        <v>28</v>
      </c>
      <c r="B32" s="9">
        <v>4</v>
      </c>
      <c r="C32" s="9" t="s">
        <v>32</v>
      </c>
      <c r="D32" s="38">
        <f t="shared" si="0"/>
        <v>46099</v>
      </c>
      <c r="E32" s="10" t="s">
        <v>56</v>
      </c>
      <c r="F32" s="43" t="s">
        <v>79</v>
      </c>
      <c r="G32" s="9">
        <v>5</v>
      </c>
      <c r="H32" s="9"/>
      <c r="I32" s="44" t="s">
        <v>80</v>
      </c>
      <c r="J32" s="9" t="s">
        <v>15</v>
      </c>
    </row>
    <row r="33" spans="1:10" ht="14.4" x14ac:dyDescent="0.3">
      <c r="A33" s="15">
        <v>29</v>
      </c>
      <c r="B33" s="15">
        <v>5</v>
      </c>
      <c r="C33" s="15" t="s">
        <v>11</v>
      </c>
      <c r="D33" s="38">
        <f t="shared" si="0"/>
        <v>46100</v>
      </c>
      <c r="E33" s="16" t="s">
        <v>69</v>
      </c>
      <c r="F33" s="49" t="s">
        <v>81</v>
      </c>
      <c r="G33" s="15">
        <v>2</v>
      </c>
      <c r="H33" s="15"/>
      <c r="I33" s="50" t="s">
        <v>82</v>
      </c>
      <c r="J33" s="15" t="s">
        <v>15</v>
      </c>
    </row>
    <row r="34" spans="1:10" ht="14.4" x14ac:dyDescent="0.3">
      <c r="A34" s="17">
        <v>30</v>
      </c>
      <c r="B34" s="17">
        <v>5</v>
      </c>
      <c r="C34" s="17" t="s">
        <v>16</v>
      </c>
      <c r="D34" s="38">
        <f t="shared" si="0"/>
        <v>46101</v>
      </c>
      <c r="E34" s="18" t="s">
        <v>74</v>
      </c>
      <c r="F34" s="51" t="s">
        <v>83</v>
      </c>
      <c r="G34" s="17">
        <v>2</v>
      </c>
      <c r="H34" s="17"/>
      <c r="I34" s="52" t="s">
        <v>84</v>
      </c>
      <c r="J34" s="17" t="s">
        <v>15</v>
      </c>
    </row>
    <row r="35" spans="1:10" ht="14.4" x14ac:dyDescent="0.3">
      <c r="A35" s="11">
        <v>31</v>
      </c>
      <c r="B35" s="11">
        <v>5</v>
      </c>
      <c r="C35" s="11" t="s">
        <v>19</v>
      </c>
      <c r="D35" s="38">
        <f t="shared" si="0"/>
        <v>46102</v>
      </c>
      <c r="E35" s="12" t="s">
        <v>56</v>
      </c>
      <c r="F35" s="45" t="s">
        <v>85</v>
      </c>
      <c r="G35" s="11">
        <v>2</v>
      </c>
      <c r="H35" s="11"/>
      <c r="I35" s="46" t="s">
        <v>86</v>
      </c>
      <c r="J35" s="11" t="s">
        <v>15</v>
      </c>
    </row>
    <row r="36" spans="1:10" ht="14.4" x14ac:dyDescent="0.3">
      <c r="A36" s="11">
        <v>32</v>
      </c>
      <c r="B36" s="11">
        <v>5</v>
      </c>
      <c r="C36" s="11" t="s">
        <v>22</v>
      </c>
      <c r="D36" s="38">
        <f t="shared" si="0"/>
        <v>46103</v>
      </c>
      <c r="E36" s="12" t="s">
        <v>56</v>
      </c>
      <c r="F36" s="45" t="s">
        <v>87</v>
      </c>
      <c r="G36" s="11">
        <v>2</v>
      </c>
      <c r="H36" s="11"/>
      <c r="I36" s="46" t="s">
        <v>88</v>
      </c>
      <c r="J36" s="11" t="s">
        <v>15</v>
      </c>
    </row>
    <row r="37" spans="1:10" ht="14.4" x14ac:dyDescent="0.3">
      <c r="A37" s="11">
        <v>33</v>
      </c>
      <c r="B37" s="11">
        <v>5</v>
      </c>
      <c r="C37" s="11" t="s">
        <v>25</v>
      </c>
      <c r="D37" s="38">
        <f t="shared" si="0"/>
        <v>46104</v>
      </c>
      <c r="E37" s="12" t="s">
        <v>56</v>
      </c>
      <c r="F37" s="45" t="s">
        <v>89</v>
      </c>
      <c r="G37" s="11">
        <v>2</v>
      </c>
      <c r="H37" s="11"/>
      <c r="I37" s="46" t="s">
        <v>90</v>
      </c>
      <c r="J37" s="11" t="s">
        <v>15</v>
      </c>
    </row>
    <row r="38" spans="1:10" ht="14.4" x14ac:dyDescent="0.3">
      <c r="A38" s="9">
        <v>34</v>
      </c>
      <c r="B38" s="9">
        <v>5</v>
      </c>
      <c r="C38" s="9" t="s">
        <v>29</v>
      </c>
      <c r="D38" s="38">
        <f t="shared" si="0"/>
        <v>46105</v>
      </c>
      <c r="E38" s="10" t="s">
        <v>69</v>
      </c>
      <c r="F38" s="43" t="s">
        <v>91</v>
      </c>
      <c r="G38" s="9">
        <v>5</v>
      </c>
      <c r="H38" s="9"/>
      <c r="I38" s="44" t="s">
        <v>92</v>
      </c>
      <c r="J38" s="9" t="s">
        <v>15</v>
      </c>
    </row>
    <row r="39" spans="1:10" ht="14.4" x14ac:dyDescent="0.3">
      <c r="A39" s="9">
        <v>35</v>
      </c>
      <c r="B39" s="9">
        <v>5</v>
      </c>
      <c r="C39" s="9" t="s">
        <v>32</v>
      </c>
      <c r="D39" s="38">
        <f t="shared" si="0"/>
        <v>46106</v>
      </c>
      <c r="E39" s="10" t="s">
        <v>69</v>
      </c>
      <c r="F39" s="43" t="s">
        <v>93</v>
      </c>
      <c r="G39" s="9">
        <v>5</v>
      </c>
      <c r="H39" s="9"/>
      <c r="I39" s="44" t="s">
        <v>94</v>
      </c>
      <c r="J39" s="9" t="s">
        <v>15</v>
      </c>
    </row>
    <row r="40" spans="1:10" ht="14.4" x14ac:dyDescent="0.3">
      <c r="A40" s="15">
        <v>36</v>
      </c>
      <c r="B40" s="15">
        <v>6</v>
      </c>
      <c r="C40" s="15" t="s">
        <v>11</v>
      </c>
      <c r="D40" s="38">
        <f t="shared" si="0"/>
        <v>46107</v>
      </c>
      <c r="E40" s="16" t="s">
        <v>69</v>
      </c>
      <c r="F40" s="49" t="s">
        <v>95</v>
      </c>
      <c r="G40" s="15">
        <v>2</v>
      </c>
      <c r="H40" s="15"/>
      <c r="I40" s="50" t="s">
        <v>96</v>
      </c>
      <c r="J40" s="15" t="s">
        <v>15</v>
      </c>
    </row>
    <row r="41" spans="1:10" ht="14.4" x14ac:dyDescent="0.3">
      <c r="A41" s="15">
        <v>37</v>
      </c>
      <c r="B41" s="15">
        <v>6</v>
      </c>
      <c r="C41" s="15" t="s">
        <v>16</v>
      </c>
      <c r="D41" s="38">
        <f t="shared" si="0"/>
        <v>46108</v>
      </c>
      <c r="E41" s="16" t="s">
        <v>69</v>
      </c>
      <c r="F41" s="49" t="s">
        <v>97</v>
      </c>
      <c r="G41" s="15">
        <v>2</v>
      </c>
      <c r="H41" s="15"/>
      <c r="I41" s="50" t="s">
        <v>98</v>
      </c>
      <c r="J41" s="15" t="s">
        <v>15</v>
      </c>
    </row>
    <row r="42" spans="1:10" ht="14.4" x14ac:dyDescent="0.3">
      <c r="A42" s="15">
        <v>38</v>
      </c>
      <c r="B42" s="15">
        <v>6</v>
      </c>
      <c r="C42" s="15" t="s">
        <v>19</v>
      </c>
      <c r="D42" s="38">
        <f t="shared" si="0"/>
        <v>46109</v>
      </c>
      <c r="E42" s="16" t="s">
        <v>69</v>
      </c>
      <c r="F42" s="49" t="s">
        <v>99</v>
      </c>
      <c r="G42" s="15">
        <v>2</v>
      </c>
      <c r="H42" s="15"/>
      <c r="I42" s="50" t="s">
        <v>100</v>
      </c>
      <c r="J42" s="15" t="s">
        <v>15</v>
      </c>
    </row>
    <row r="43" spans="1:10" ht="14.4" x14ac:dyDescent="0.3">
      <c r="A43" s="17">
        <v>39</v>
      </c>
      <c r="B43" s="17">
        <v>6</v>
      </c>
      <c r="C43" s="17" t="s">
        <v>22</v>
      </c>
      <c r="D43" s="38">
        <f t="shared" si="0"/>
        <v>46110</v>
      </c>
      <c r="E43" s="18" t="s">
        <v>74</v>
      </c>
      <c r="F43" s="51" t="s">
        <v>101</v>
      </c>
      <c r="G43" s="17">
        <v>2</v>
      </c>
      <c r="H43" s="17"/>
      <c r="I43" s="52" t="s">
        <v>102</v>
      </c>
      <c r="J43" s="17" t="s">
        <v>15</v>
      </c>
    </row>
    <row r="44" spans="1:10" ht="14.4" x14ac:dyDescent="0.3">
      <c r="A44" s="17">
        <v>40</v>
      </c>
      <c r="B44" s="17">
        <v>6</v>
      </c>
      <c r="C44" s="17" t="s">
        <v>25</v>
      </c>
      <c r="D44" s="38">
        <f t="shared" si="0"/>
        <v>46111</v>
      </c>
      <c r="E44" s="18" t="s">
        <v>74</v>
      </c>
      <c r="F44" s="51" t="s">
        <v>103</v>
      </c>
      <c r="G44" s="17">
        <v>2</v>
      </c>
      <c r="H44" s="17"/>
      <c r="I44" s="52" t="s">
        <v>104</v>
      </c>
      <c r="J44" s="17" t="s">
        <v>15</v>
      </c>
    </row>
    <row r="45" spans="1:10" ht="14.4" x14ac:dyDescent="0.3">
      <c r="A45" s="9">
        <v>41</v>
      </c>
      <c r="B45" s="9">
        <v>6</v>
      </c>
      <c r="C45" s="9" t="s">
        <v>29</v>
      </c>
      <c r="D45" s="38">
        <f t="shared" si="0"/>
        <v>46112</v>
      </c>
      <c r="E45" s="10" t="s">
        <v>74</v>
      </c>
      <c r="F45" s="43" t="s">
        <v>105</v>
      </c>
      <c r="G45" s="9">
        <v>5</v>
      </c>
      <c r="H45" s="9"/>
      <c r="I45" s="44" t="s">
        <v>106</v>
      </c>
      <c r="J45" s="9" t="s">
        <v>15</v>
      </c>
    </row>
    <row r="46" spans="1:10" ht="14.4" x14ac:dyDescent="0.3">
      <c r="A46" s="9">
        <v>42</v>
      </c>
      <c r="B46" s="9">
        <v>6</v>
      </c>
      <c r="C46" s="9" t="s">
        <v>32</v>
      </c>
      <c r="D46" s="38">
        <f t="shared" si="0"/>
        <v>46113</v>
      </c>
      <c r="E46" s="10" t="s">
        <v>74</v>
      </c>
      <c r="F46" s="43" t="s">
        <v>107</v>
      </c>
      <c r="G46" s="9">
        <v>5</v>
      </c>
      <c r="H46" s="9"/>
      <c r="I46" s="44" t="s">
        <v>108</v>
      </c>
      <c r="J46" s="9" t="s">
        <v>15</v>
      </c>
    </row>
    <row r="47" spans="1:10" ht="14.4" x14ac:dyDescent="0.3">
      <c r="A47" s="17">
        <v>43</v>
      </c>
      <c r="B47" s="17">
        <v>7</v>
      </c>
      <c r="C47" s="17" t="s">
        <v>11</v>
      </c>
      <c r="D47" s="38">
        <f t="shared" si="0"/>
        <v>46114</v>
      </c>
      <c r="E47" s="18" t="s">
        <v>74</v>
      </c>
      <c r="F47" s="51" t="s">
        <v>109</v>
      </c>
      <c r="G47" s="17">
        <v>2</v>
      </c>
      <c r="H47" s="17"/>
      <c r="I47" s="52" t="s">
        <v>110</v>
      </c>
      <c r="J47" s="17" t="s">
        <v>15</v>
      </c>
    </row>
    <row r="48" spans="1:10" ht="14.4" x14ac:dyDescent="0.3">
      <c r="A48" s="17">
        <v>44</v>
      </c>
      <c r="B48" s="17">
        <v>7</v>
      </c>
      <c r="C48" s="17" t="s">
        <v>16</v>
      </c>
      <c r="D48" s="38">
        <f t="shared" si="0"/>
        <v>46115</v>
      </c>
      <c r="E48" s="18" t="s">
        <v>74</v>
      </c>
      <c r="F48" s="51" t="s">
        <v>111</v>
      </c>
      <c r="G48" s="17">
        <v>2</v>
      </c>
      <c r="H48" s="17"/>
      <c r="I48" s="52" t="s">
        <v>112</v>
      </c>
      <c r="J48" s="17" t="s">
        <v>15</v>
      </c>
    </row>
    <row r="49" spans="1:10" ht="14.4" x14ac:dyDescent="0.3">
      <c r="A49" s="17">
        <v>45</v>
      </c>
      <c r="B49" s="17">
        <v>7</v>
      </c>
      <c r="C49" s="17" t="s">
        <v>19</v>
      </c>
      <c r="D49" s="38">
        <f t="shared" si="0"/>
        <v>46116</v>
      </c>
      <c r="E49" s="18" t="s">
        <v>74</v>
      </c>
      <c r="F49" s="51" t="s">
        <v>113</v>
      </c>
      <c r="G49" s="17">
        <v>2</v>
      </c>
      <c r="H49" s="17"/>
      <c r="I49" s="52" t="s">
        <v>114</v>
      </c>
      <c r="J49" s="17" t="s">
        <v>15</v>
      </c>
    </row>
    <row r="50" spans="1:10" ht="14.4" x14ac:dyDescent="0.3">
      <c r="A50" s="17">
        <v>46</v>
      </c>
      <c r="B50" s="17">
        <v>7</v>
      </c>
      <c r="C50" s="17" t="s">
        <v>22</v>
      </c>
      <c r="D50" s="38">
        <f t="shared" si="0"/>
        <v>46117</v>
      </c>
      <c r="E50" s="18" t="s">
        <v>74</v>
      </c>
      <c r="F50" s="51" t="s">
        <v>115</v>
      </c>
      <c r="G50" s="17">
        <v>2</v>
      </c>
      <c r="H50" s="17"/>
      <c r="I50" s="52" t="s">
        <v>116</v>
      </c>
      <c r="J50" s="17" t="s">
        <v>15</v>
      </c>
    </row>
    <row r="51" spans="1:10" ht="14.4" x14ac:dyDescent="0.3">
      <c r="A51" s="17">
        <v>47</v>
      </c>
      <c r="B51" s="17">
        <v>7</v>
      </c>
      <c r="C51" s="17" t="s">
        <v>25</v>
      </c>
      <c r="D51" s="38">
        <f t="shared" si="0"/>
        <v>46118</v>
      </c>
      <c r="E51" s="18" t="s">
        <v>74</v>
      </c>
      <c r="F51" s="51" t="s">
        <v>117</v>
      </c>
      <c r="G51" s="17">
        <v>2</v>
      </c>
      <c r="H51" s="17"/>
      <c r="I51" s="52" t="s">
        <v>118</v>
      </c>
      <c r="J51" s="17" t="s">
        <v>15</v>
      </c>
    </row>
    <row r="52" spans="1:10" ht="14.4" x14ac:dyDescent="0.3">
      <c r="A52" s="9">
        <v>48</v>
      </c>
      <c r="B52" s="9">
        <v>7</v>
      </c>
      <c r="C52" s="9" t="s">
        <v>29</v>
      </c>
      <c r="D52" s="38">
        <f t="shared" si="0"/>
        <v>46119</v>
      </c>
      <c r="E52" s="10" t="s">
        <v>74</v>
      </c>
      <c r="F52" s="43" t="s">
        <v>119</v>
      </c>
      <c r="G52" s="9">
        <v>5</v>
      </c>
      <c r="H52" s="9"/>
      <c r="I52" s="44" t="s">
        <v>120</v>
      </c>
      <c r="J52" s="9" t="s">
        <v>15</v>
      </c>
    </row>
    <row r="53" spans="1:10" ht="14.4" x14ac:dyDescent="0.3">
      <c r="A53" s="9">
        <v>49</v>
      </c>
      <c r="B53" s="9">
        <v>7</v>
      </c>
      <c r="C53" s="9" t="s">
        <v>32</v>
      </c>
      <c r="D53" s="38">
        <f t="shared" si="0"/>
        <v>46120</v>
      </c>
      <c r="E53" s="10" t="s">
        <v>74</v>
      </c>
      <c r="F53" s="43" t="s">
        <v>121</v>
      </c>
      <c r="G53" s="9">
        <v>5</v>
      </c>
      <c r="H53" s="9"/>
      <c r="I53" s="44" t="s">
        <v>122</v>
      </c>
      <c r="J53" s="9" t="s">
        <v>15</v>
      </c>
    </row>
    <row r="54" spans="1:10" ht="14.4" x14ac:dyDescent="0.3">
      <c r="A54" s="17">
        <v>50</v>
      </c>
      <c r="B54" s="17">
        <v>8</v>
      </c>
      <c r="C54" s="17" t="s">
        <v>11</v>
      </c>
      <c r="D54" s="38">
        <f t="shared" si="0"/>
        <v>46121</v>
      </c>
      <c r="E54" s="18" t="s">
        <v>74</v>
      </c>
      <c r="F54" s="51" t="s">
        <v>123</v>
      </c>
      <c r="G54" s="17">
        <v>2</v>
      </c>
      <c r="H54" s="17"/>
      <c r="I54" s="52" t="s">
        <v>124</v>
      </c>
      <c r="J54" s="17" t="s">
        <v>15</v>
      </c>
    </row>
    <row r="55" spans="1:10" ht="14.4" x14ac:dyDescent="0.3">
      <c r="A55" s="17">
        <v>51</v>
      </c>
      <c r="B55" s="17">
        <v>8</v>
      </c>
      <c r="C55" s="17" t="s">
        <v>16</v>
      </c>
      <c r="D55" s="38">
        <f t="shared" si="0"/>
        <v>46122</v>
      </c>
      <c r="E55" s="18" t="s">
        <v>74</v>
      </c>
      <c r="F55" s="51" t="s">
        <v>125</v>
      </c>
      <c r="G55" s="17">
        <v>2</v>
      </c>
      <c r="H55" s="17"/>
      <c r="I55" s="52" t="s">
        <v>126</v>
      </c>
      <c r="J55" s="17" t="s">
        <v>15</v>
      </c>
    </row>
    <row r="56" spans="1:10" ht="14.4" x14ac:dyDescent="0.3">
      <c r="A56" s="17">
        <v>52</v>
      </c>
      <c r="B56" s="17">
        <v>8</v>
      </c>
      <c r="C56" s="17" t="s">
        <v>19</v>
      </c>
      <c r="D56" s="38">
        <f t="shared" si="0"/>
        <v>46123</v>
      </c>
      <c r="E56" s="18" t="s">
        <v>74</v>
      </c>
      <c r="F56" s="51" t="s">
        <v>127</v>
      </c>
      <c r="G56" s="17">
        <v>2</v>
      </c>
      <c r="H56" s="17"/>
      <c r="I56" s="52" t="s">
        <v>128</v>
      </c>
      <c r="J56" s="17" t="s">
        <v>15</v>
      </c>
    </row>
    <row r="57" spans="1:10" ht="14.4" x14ac:dyDescent="0.3">
      <c r="A57" s="17">
        <v>53</v>
      </c>
      <c r="B57" s="17">
        <v>8</v>
      </c>
      <c r="C57" s="17" t="s">
        <v>22</v>
      </c>
      <c r="D57" s="38">
        <f t="shared" si="0"/>
        <v>46124</v>
      </c>
      <c r="E57" s="18" t="s">
        <v>74</v>
      </c>
      <c r="F57" s="51" t="s">
        <v>129</v>
      </c>
      <c r="G57" s="17">
        <v>2</v>
      </c>
      <c r="H57" s="17"/>
      <c r="I57" s="52" t="s">
        <v>130</v>
      </c>
      <c r="J57" s="17" t="s">
        <v>15</v>
      </c>
    </row>
    <row r="58" spans="1:10" ht="14.4" x14ac:dyDescent="0.3">
      <c r="A58" s="17">
        <v>54</v>
      </c>
      <c r="B58" s="17">
        <v>8</v>
      </c>
      <c r="C58" s="17" t="s">
        <v>25</v>
      </c>
      <c r="D58" s="38">
        <f t="shared" si="0"/>
        <v>46125</v>
      </c>
      <c r="E58" s="18" t="s">
        <v>74</v>
      </c>
      <c r="F58" s="51" t="s">
        <v>131</v>
      </c>
      <c r="G58" s="17">
        <v>2</v>
      </c>
      <c r="H58" s="17"/>
      <c r="I58" s="52" t="s">
        <v>132</v>
      </c>
      <c r="J58" s="17" t="s">
        <v>15</v>
      </c>
    </row>
    <row r="59" spans="1:10" ht="14.4" x14ac:dyDescent="0.3">
      <c r="A59" s="9">
        <v>55</v>
      </c>
      <c r="B59" s="9">
        <v>8</v>
      </c>
      <c r="C59" s="9" t="s">
        <v>29</v>
      </c>
      <c r="D59" s="38">
        <f t="shared" si="0"/>
        <v>46126</v>
      </c>
      <c r="E59" s="10" t="s">
        <v>133</v>
      </c>
      <c r="F59" s="43" t="s">
        <v>134</v>
      </c>
      <c r="G59" s="9">
        <v>5</v>
      </c>
      <c r="H59" s="9"/>
      <c r="I59" s="44" t="s">
        <v>135</v>
      </c>
      <c r="J59" s="9" t="s">
        <v>15</v>
      </c>
    </row>
    <row r="60" spans="1:10" ht="14.4" x14ac:dyDescent="0.3">
      <c r="A60" s="9">
        <v>56</v>
      </c>
      <c r="B60" s="9">
        <v>8</v>
      </c>
      <c r="C60" s="9" t="s">
        <v>32</v>
      </c>
      <c r="D60" s="38">
        <f t="shared" si="0"/>
        <v>46127</v>
      </c>
      <c r="E60" s="10" t="s">
        <v>133</v>
      </c>
      <c r="F60" s="43" t="s">
        <v>136</v>
      </c>
      <c r="G60" s="9">
        <v>5</v>
      </c>
      <c r="H60" s="9"/>
      <c r="I60" s="44" t="s">
        <v>137</v>
      </c>
      <c r="J60" s="9" t="s">
        <v>15</v>
      </c>
    </row>
    <row r="61" spans="1:10" ht="14.4" x14ac:dyDescent="0.3">
      <c r="A61" s="19">
        <v>57</v>
      </c>
      <c r="B61" s="19">
        <v>9</v>
      </c>
      <c r="C61" s="19" t="s">
        <v>11</v>
      </c>
      <c r="D61" s="38">
        <f t="shared" si="0"/>
        <v>46128</v>
      </c>
      <c r="E61" s="20" t="s">
        <v>133</v>
      </c>
      <c r="F61" s="53" t="s">
        <v>138</v>
      </c>
      <c r="G61" s="19">
        <v>2</v>
      </c>
      <c r="H61" s="19"/>
      <c r="I61" s="54" t="s">
        <v>139</v>
      </c>
      <c r="J61" s="19" t="s">
        <v>15</v>
      </c>
    </row>
    <row r="62" spans="1:10" ht="14.4" x14ac:dyDescent="0.3">
      <c r="A62" s="19">
        <v>58</v>
      </c>
      <c r="B62" s="19">
        <v>9</v>
      </c>
      <c r="C62" s="19" t="s">
        <v>16</v>
      </c>
      <c r="D62" s="38">
        <f t="shared" si="0"/>
        <v>46129</v>
      </c>
      <c r="E62" s="20" t="s">
        <v>133</v>
      </c>
      <c r="F62" s="53" t="s">
        <v>140</v>
      </c>
      <c r="G62" s="19">
        <v>2</v>
      </c>
      <c r="H62" s="19"/>
      <c r="I62" s="54" t="s">
        <v>141</v>
      </c>
      <c r="J62" s="19" t="s">
        <v>15</v>
      </c>
    </row>
    <row r="63" spans="1:10" ht="14.4" x14ac:dyDescent="0.3">
      <c r="A63" s="17">
        <v>59</v>
      </c>
      <c r="B63" s="17">
        <v>9</v>
      </c>
      <c r="C63" s="17" t="s">
        <v>19</v>
      </c>
      <c r="D63" s="38">
        <f t="shared" si="0"/>
        <v>46130</v>
      </c>
      <c r="E63" s="18" t="s">
        <v>74</v>
      </c>
      <c r="F63" s="51" t="s">
        <v>142</v>
      </c>
      <c r="G63" s="17">
        <v>2</v>
      </c>
      <c r="H63" s="17"/>
      <c r="I63" s="52" t="s">
        <v>143</v>
      </c>
      <c r="J63" s="17" t="s">
        <v>15</v>
      </c>
    </row>
    <row r="64" spans="1:10" ht="14.4" x14ac:dyDescent="0.3">
      <c r="A64" s="17">
        <v>60</v>
      </c>
      <c r="B64" s="17">
        <v>9</v>
      </c>
      <c r="C64" s="17" t="s">
        <v>22</v>
      </c>
      <c r="D64" s="38">
        <f t="shared" si="0"/>
        <v>46131</v>
      </c>
      <c r="E64" s="18" t="s">
        <v>74</v>
      </c>
      <c r="F64" s="51" t="s">
        <v>144</v>
      </c>
      <c r="G64" s="17">
        <v>2</v>
      </c>
      <c r="H64" s="17"/>
      <c r="I64" s="52" t="s">
        <v>145</v>
      </c>
      <c r="J64" s="17" t="s">
        <v>15</v>
      </c>
    </row>
    <row r="65" spans="1:10" ht="14.4" x14ac:dyDescent="0.3">
      <c r="A65" s="17">
        <v>61</v>
      </c>
      <c r="B65" s="17">
        <v>9</v>
      </c>
      <c r="C65" s="17" t="s">
        <v>25</v>
      </c>
      <c r="D65" s="38">
        <f t="shared" si="0"/>
        <v>46132</v>
      </c>
      <c r="E65" s="18" t="s">
        <v>74</v>
      </c>
      <c r="F65" s="51" t="s">
        <v>146</v>
      </c>
      <c r="G65" s="17">
        <v>2</v>
      </c>
      <c r="H65" s="17"/>
      <c r="I65" s="52" t="s">
        <v>147</v>
      </c>
      <c r="J65" s="17" t="s">
        <v>15</v>
      </c>
    </row>
    <row r="66" spans="1:10" ht="14.4" x14ac:dyDescent="0.3">
      <c r="A66" s="9">
        <v>62</v>
      </c>
      <c r="B66" s="9">
        <v>9</v>
      </c>
      <c r="C66" s="9" t="s">
        <v>29</v>
      </c>
      <c r="D66" s="38">
        <f t="shared" si="0"/>
        <v>46133</v>
      </c>
      <c r="E66" s="10" t="s">
        <v>74</v>
      </c>
      <c r="F66" s="43" t="s">
        <v>148</v>
      </c>
      <c r="G66" s="9">
        <v>5</v>
      </c>
      <c r="H66" s="9"/>
      <c r="I66" s="44" t="s">
        <v>149</v>
      </c>
      <c r="J66" s="9" t="s">
        <v>15</v>
      </c>
    </row>
    <row r="67" spans="1:10" ht="14.4" x14ac:dyDescent="0.3">
      <c r="A67" s="9">
        <v>63</v>
      </c>
      <c r="B67" s="9">
        <v>9</v>
      </c>
      <c r="C67" s="9" t="s">
        <v>32</v>
      </c>
      <c r="D67" s="38">
        <f t="shared" si="0"/>
        <v>46134</v>
      </c>
      <c r="E67" s="10" t="s">
        <v>74</v>
      </c>
      <c r="F67" s="43" t="s">
        <v>150</v>
      </c>
      <c r="G67" s="9">
        <v>5</v>
      </c>
      <c r="H67" s="9"/>
      <c r="I67" s="44" t="s">
        <v>151</v>
      </c>
      <c r="J67" s="9" t="s">
        <v>15</v>
      </c>
    </row>
    <row r="68" spans="1:10" ht="14.4" x14ac:dyDescent="0.3">
      <c r="A68" s="17">
        <v>64</v>
      </c>
      <c r="B68" s="17">
        <v>10</v>
      </c>
      <c r="C68" s="17" t="s">
        <v>11</v>
      </c>
      <c r="D68" s="38">
        <f t="shared" si="0"/>
        <v>46135</v>
      </c>
      <c r="E68" s="18" t="s">
        <v>74</v>
      </c>
      <c r="F68" s="51" t="s">
        <v>152</v>
      </c>
      <c r="G68" s="17">
        <v>2</v>
      </c>
      <c r="H68" s="17"/>
      <c r="I68" s="52" t="s">
        <v>153</v>
      </c>
      <c r="J68" s="17" t="s">
        <v>15</v>
      </c>
    </row>
    <row r="69" spans="1:10" ht="14.4" x14ac:dyDescent="0.3">
      <c r="A69" s="17">
        <v>65</v>
      </c>
      <c r="B69" s="17">
        <v>10</v>
      </c>
      <c r="C69" s="17" t="s">
        <v>16</v>
      </c>
      <c r="D69" s="38">
        <f t="shared" si="0"/>
        <v>46136</v>
      </c>
      <c r="E69" s="18" t="s">
        <v>74</v>
      </c>
      <c r="F69" s="51" t="s">
        <v>154</v>
      </c>
      <c r="G69" s="17">
        <v>2</v>
      </c>
      <c r="H69" s="17"/>
      <c r="I69" s="52" t="s">
        <v>155</v>
      </c>
      <c r="J69" s="17" t="s">
        <v>15</v>
      </c>
    </row>
    <row r="71" spans="1:10" ht="14.4" x14ac:dyDescent="0.3">
      <c r="F71" s="21" t="s">
        <v>156</v>
      </c>
      <c r="G71" s="21">
        <f>SUM(G5:G69)</f>
        <v>184</v>
      </c>
    </row>
  </sheetData>
  <mergeCells count="2">
    <mergeCell ref="A1:J1"/>
    <mergeCell ref="A2:J2"/>
  </mergeCells>
  <dataValidations count="1">
    <dataValidation type="list" allowBlank="1" errorTitle="Invalid Status" error="Please select a valid status" promptTitle="Status" prompt="Select status" sqref="J5:J69" xr:uid="{00000000-0002-0000-0000-000000000000}">
      <formula1>"Not Started,In Progress,Delayed,Completed"</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7AE60"/>
  </sheetPr>
  <dimension ref="A1:F17"/>
  <sheetViews>
    <sheetView zoomScaleNormal="100" workbookViewId="0">
      <selection activeCell="B5" sqref="B5"/>
    </sheetView>
  </sheetViews>
  <sheetFormatPr defaultColWidth="8.6640625" defaultRowHeight="15" customHeight="1" x14ac:dyDescent="0.3"/>
  <cols>
    <col min="1" max="1" width="10" customWidth="1"/>
    <col min="2" max="2" width="20" customWidth="1"/>
    <col min="3" max="3" width="40" customWidth="1"/>
    <col min="4" max="5" width="10" customWidth="1"/>
    <col min="6" max="6" width="35" customWidth="1"/>
  </cols>
  <sheetData>
    <row r="1" spans="1:6" ht="30" customHeight="1" x14ac:dyDescent="0.3">
      <c r="A1" s="1" t="s">
        <v>157</v>
      </c>
      <c r="B1" s="1"/>
      <c r="C1" s="1"/>
      <c r="D1" s="1"/>
      <c r="E1" s="1"/>
      <c r="F1" s="1"/>
    </row>
    <row r="3" spans="1:6" ht="15" customHeight="1" x14ac:dyDescent="0.3">
      <c r="A3" s="22" t="s">
        <v>3</v>
      </c>
      <c r="B3" s="22" t="s">
        <v>5</v>
      </c>
      <c r="C3" s="22" t="s">
        <v>158</v>
      </c>
      <c r="D3" s="22" t="s">
        <v>159</v>
      </c>
      <c r="E3" s="22" t="s">
        <v>160</v>
      </c>
      <c r="F3" s="22" t="s">
        <v>161</v>
      </c>
    </row>
    <row r="4" spans="1:6" ht="34.5" customHeight="1" x14ac:dyDescent="0.3">
      <c r="A4" s="23">
        <v>1</v>
      </c>
      <c r="B4" s="24" t="s">
        <v>162</v>
      </c>
      <c r="C4" s="25" t="s">
        <v>33</v>
      </c>
      <c r="D4" s="26">
        <v>20</v>
      </c>
      <c r="E4" s="27">
        <v>2</v>
      </c>
      <c r="F4" s="28" t="s">
        <v>163</v>
      </c>
    </row>
    <row r="5" spans="1:6" ht="34.5" customHeight="1" x14ac:dyDescent="0.3">
      <c r="A5" s="23">
        <v>2</v>
      </c>
      <c r="B5" s="29" t="s">
        <v>164</v>
      </c>
      <c r="C5" s="25" t="s">
        <v>48</v>
      </c>
      <c r="D5" s="26">
        <v>20</v>
      </c>
      <c r="E5" s="30">
        <v>5</v>
      </c>
      <c r="F5" s="28" t="s">
        <v>165</v>
      </c>
    </row>
    <row r="6" spans="1:6" ht="34.5" customHeight="1" x14ac:dyDescent="0.3">
      <c r="A6" s="23">
        <v>3</v>
      </c>
      <c r="B6" s="29" t="s">
        <v>166</v>
      </c>
      <c r="C6" s="25" t="s">
        <v>63</v>
      </c>
      <c r="D6" s="26">
        <v>20</v>
      </c>
      <c r="E6" s="27">
        <v>2</v>
      </c>
      <c r="F6" s="28" t="s">
        <v>167</v>
      </c>
    </row>
    <row r="7" spans="1:6" ht="34.5" customHeight="1" x14ac:dyDescent="0.3">
      <c r="A7" s="23">
        <v>4</v>
      </c>
      <c r="B7" s="29" t="s">
        <v>168</v>
      </c>
      <c r="C7" s="25" t="s">
        <v>79</v>
      </c>
      <c r="D7" s="26">
        <v>20</v>
      </c>
      <c r="E7" s="27">
        <v>0</v>
      </c>
      <c r="F7" s="28" t="s">
        <v>169</v>
      </c>
    </row>
    <row r="8" spans="1:6" ht="34.5" customHeight="1" x14ac:dyDescent="0.3">
      <c r="A8" s="23">
        <v>5</v>
      </c>
      <c r="B8" s="31" t="s">
        <v>170</v>
      </c>
      <c r="C8" s="25" t="s">
        <v>93</v>
      </c>
      <c r="D8" s="26">
        <v>20</v>
      </c>
      <c r="E8" s="27">
        <v>0</v>
      </c>
      <c r="F8" s="28" t="s">
        <v>171</v>
      </c>
    </row>
    <row r="9" spans="1:6" ht="34.5" customHeight="1" x14ac:dyDescent="0.3">
      <c r="A9" s="23">
        <v>6</v>
      </c>
      <c r="B9" s="32" t="s">
        <v>172</v>
      </c>
      <c r="C9" s="25" t="s">
        <v>107</v>
      </c>
      <c r="D9" s="26">
        <v>20</v>
      </c>
      <c r="E9" s="30">
        <v>0</v>
      </c>
      <c r="F9" s="28" t="s">
        <v>173</v>
      </c>
    </row>
    <row r="10" spans="1:6" ht="34.5" customHeight="1" x14ac:dyDescent="0.3">
      <c r="A10" s="23">
        <v>7</v>
      </c>
      <c r="B10" s="33" t="s">
        <v>74</v>
      </c>
      <c r="C10" s="25" t="s">
        <v>121</v>
      </c>
      <c r="D10" s="26">
        <v>20</v>
      </c>
      <c r="E10" s="30">
        <v>0</v>
      </c>
      <c r="F10" s="28" t="s">
        <v>174</v>
      </c>
    </row>
    <row r="11" spans="1:6" ht="34.5" customHeight="1" x14ac:dyDescent="0.3">
      <c r="A11" s="23">
        <v>8</v>
      </c>
      <c r="B11" s="34" t="s">
        <v>175</v>
      </c>
      <c r="C11" s="25" t="s">
        <v>136</v>
      </c>
      <c r="D11" s="26">
        <v>20</v>
      </c>
      <c r="E11" s="27">
        <v>0</v>
      </c>
      <c r="F11" s="28" t="s">
        <v>176</v>
      </c>
    </row>
    <row r="12" spans="1:6" ht="34.5" customHeight="1" x14ac:dyDescent="0.3">
      <c r="A12" s="23">
        <v>9</v>
      </c>
      <c r="B12" s="32" t="s">
        <v>175</v>
      </c>
      <c r="C12" s="25" t="s">
        <v>150</v>
      </c>
      <c r="D12" s="26">
        <v>20</v>
      </c>
      <c r="E12" s="30">
        <v>0</v>
      </c>
      <c r="F12" s="28" t="s">
        <v>177</v>
      </c>
    </row>
    <row r="13" spans="1:6" ht="34.5" customHeight="1" x14ac:dyDescent="0.3">
      <c r="A13" s="23">
        <v>10</v>
      </c>
      <c r="B13" s="32" t="s">
        <v>74</v>
      </c>
      <c r="C13" s="25" t="s">
        <v>154</v>
      </c>
      <c r="D13" s="26">
        <v>4</v>
      </c>
      <c r="E13" s="30">
        <v>0</v>
      </c>
      <c r="F13" s="28" t="s">
        <v>178</v>
      </c>
    </row>
    <row r="14" spans="1:6" ht="34.5" customHeight="1" x14ac:dyDescent="0.3">
      <c r="A14" s="23"/>
      <c r="B14" s="32"/>
      <c r="C14" s="25"/>
      <c r="D14" s="26"/>
      <c r="E14" s="30"/>
      <c r="F14" s="28"/>
    </row>
    <row r="15" spans="1:6" ht="34.5" customHeight="1" x14ac:dyDescent="0.3">
      <c r="A15" s="23"/>
      <c r="B15" s="35"/>
      <c r="C15" s="25"/>
      <c r="D15" s="26"/>
      <c r="E15" s="30"/>
      <c r="F15" s="28"/>
    </row>
    <row r="16" spans="1:6" ht="34.5" customHeight="1" x14ac:dyDescent="0.3">
      <c r="A16" s="23"/>
      <c r="B16" s="31"/>
      <c r="C16" s="25"/>
      <c r="D16" s="26"/>
      <c r="E16" s="30"/>
      <c r="F16" s="28"/>
    </row>
    <row r="17" spans="3:5" ht="15" customHeight="1" x14ac:dyDescent="0.3">
      <c r="C17" s="36"/>
      <c r="D17" s="23"/>
      <c r="E17" s="37"/>
    </row>
  </sheetData>
  <mergeCells count="1">
    <mergeCell ref="A1:F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Daily Plan</vt:lpstr>
      <vt:lpstr>Weekly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Rahul Narayana</cp:lastModifiedBy>
  <cp:revision>0</cp:revision>
  <dcterms:created xsi:type="dcterms:W3CDTF">2026-02-18T16:23:30Z</dcterms:created>
  <dcterms:modified xsi:type="dcterms:W3CDTF">2026-02-18T16:38:25Z</dcterms:modified>
  <dc:language>en-US</dc:language>
</cp:coreProperties>
</file>