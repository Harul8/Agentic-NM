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Plan" sheetId="1" state="visible" r:id="rId3"/>
    <sheet name="Hardware &amp; Budget" sheetId="2" state="visible" r:id="rId4"/>
    <sheet name="GPU Scheduling" sheetId="3" state="visible" r:id="rId5"/>
    <sheet name="Risks &amp; Mitiga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<sst xmlns="http://schemas.openxmlformats.org/spreadsheetml/2006/main" count="404" uniqueCount="299">
  <si>
    <t xml:space="preserve">Nyaymalaw 3.0 — Research Project Plan (15 hrs/week)</t>
  </si>
  <si>
    <t xml:space="preserve">Hardware: RTX 4060 (8GB VRAM) | Qwen2.5-7B Instruct via Ollama | ~3 min/query full pipeline</t>
  </si>
  <si>
    <t xml:space="preserve">#</t>
  </si>
  <si>
    <t xml:space="preserve">Phase</t>
  </si>
  <si>
    <t xml:space="preserve">Task</t>
  </si>
  <si>
    <t xml:space="preserve">Details / Deliverable</t>
  </si>
  <si>
    <t xml:space="preserve">Hours</t>
  </si>
  <si>
    <t xml:space="preserve">GPU Hrs</t>
  </si>
  <si>
    <t xml:space="preserve">Status</t>
  </si>
  <si>
    <t xml:space="preserve">Wk 1</t>
  </si>
  <si>
    <t xml:space="preserve">Wk 2</t>
  </si>
  <si>
    <t xml:space="preserve">Wk 3</t>
  </si>
  <si>
    <t xml:space="preserve">Wk 4</t>
  </si>
  <si>
    <t xml:space="preserve">Wk 5</t>
  </si>
  <si>
    <t xml:space="preserve">Wk 6</t>
  </si>
  <si>
    <t xml:space="preserve">Wk 7</t>
  </si>
  <si>
    <t xml:space="preserve">Wk 8</t>
  </si>
  <si>
    <t xml:space="preserve">Wk 9</t>
  </si>
  <si>
    <t xml:space="preserve">Wk 10</t>
  </si>
  <si>
    <t xml:space="preserve">Wk 11</t>
  </si>
  <si>
    <t xml:space="preserve">Wk 12</t>
  </si>
  <si>
    <t xml:space="preserve">1.1</t>
  </si>
  <si>
    <t xml:space="preserve">1. Setup
&amp; Freeze</t>
  </si>
  <si>
    <t xml:space="preserve">Freeze codebase &amp; tag release</t>
  </si>
  <si>
    <t xml:space="preserve">Git tag v3.0-eval; record exact model versions (Qwen2.5-7B quant, MiniLM-L6-v2, ms-marco-MiniLM-L-12-v2)</t>
  </si>
  <si>
    <t xml:space="preserve">Pending</t>
  </si>
  <si>
    <t xml:space="preserve">█</t>
  </si>
  <si>
    <t xml:space="preserve">1.2</t>
  </si>
  <si>
    <t xml:space="preserve">Install eval dependencies</t>
  </si>
  <si>
    <t xml:space="preserve">pip install matplotlib scipy; verify all eval/ scripts run; test GPU utilization</t>
  </si>
  <si>
    <t xml:space="preserve">1.3</t>
  </si>
  <si>
    <t xml:space="preserve">Run 10 pilot queries</t>
  </si>
  <si>
    <t xml:space="preserve">Test batch_runner with 10 sample queries to estimate per-query time and GPU usage</t>
  </si>
  <si>
    <t xml:space="preserve">1.4</t>
  </si>
  <si>
    <t xml:space="preserve">Initial threshold sweep</t>
  </si>
  <si>
    <t xml:space="preserve">Run threshold_sweep on pilot queries; get first score distribution plot — potential early finding</t>
  </si>
  <si>
    <t xml:space="preserve">1.5</t>
  </si>
  <si>
    <t xml:space="preserve">Calibrate time estimates</t>
  </si>
  <si>
    <t xml:space="preserve">From pilot: measure actual per-query time, VRAM usage, disk I/O; adjust plan if needed</t>
  </si>
  <si>
    <t xml:space="preserve">2.1</t>
  </si>
  <si>
    <t xml:space="preserve">2. Query Set
Construction</t>
  </si>
  <si>
    <t xml:space="preserve">Draft 50 queries (Batch 1)</t>
  </si>
  <si>
    <t xml:space="preserve">25 legal_opinion + 15 search + 10 lookup across 8 domains; write gold bare acts + case laws for each</t>
  </si>
  <si>
    <t xml:space="preserve">2.2</t>
  </si>
  <si>
    <t xml:space="preserve">Draft 50 queries (Batch 2)</t>
  </si>
  <si>
    <t xml:space="preserve">Complete to 100 queries; ensure coverage: all complexity tiers, jurisdictions, recency bands</t>
  </si>
  <si>
    <t xml:space="preserve">2.3</t>
  </si>
  <si>
    <t xml:space="preserve">Draft 20 additional queries</t>
  </si>
  <si>
    <t xml:space="preserve">Edge cases: multi-act, constitutional, recent amendments (2023-2025), regional HC-specific</t>
  </si>
  <si>
    <t xml:space="preserve">2.4</t>
  </si>
  <si>
    <t xml:space="preserve">Build safety test suite</t>
  </si>
  <si>
    <t xml:space="preserve">40-50 adversarial queries (extend the 20 sample ones); cover all 6 categories</t>
  </si>
  <si>
    <t xml:space="preserve">2.5</t>
  </si>
  <si>
    <t xml:space="preserve">Gold annotation self-check</t>
  </si>
  <si>
    <t xml:space="preserve">Cross-verify your own gold answers against SCC Online / Indian Kanoon before sharing with advocates</t>
  </si>
  <si>
    <t xml:space="preserve">3.1</t>
  </si>
  <si>
    <t xml:space="preserve">3. Advocate
Annotation</t>
  </si>
  <si>
    <t xml:space="preserve">Recruit 2 advocate annotators</t>
  </si>
  <si>
    <t xml:space="preserve">Identify 2 practicing advocates (5+ yr experience); brief them on annotation task; share guidelines</t>
  </si>
  <si>
    <t xml:space="preserve">3.2</t>
  </si>
  <si>
    <t xml:space="preserve">Generate annotation templates</t>
  </si>
  <si>
    <t xml:space="preserve">Run annotator_agreement --generate-template; create Excel sheets for binary relevance + opinion quality</t>
  </si>
  <si>
    <t xml:space="preserve">3.3</t>
  </si>
  <si>
    <t xml:space="preserve">Advocate annotation round 1</t>
  </si>
  <si>
    <t xml:space="preserve">Advocates independently annotate 60 queries each; you coordinate and answer clarifications</t>
  </si>
  <si>
    <t xml:space="preserve">3.4</t>
  </si>
  <si>
    <t xml:space="preserve">Advocate annotation round 2</t>
  </si>
  <si>
    <t xml:space="preserve">Remaining 60 queries; collect all binary relevance + 5-dim Likert scores</t>
  </si>
  <si>
    <t xml:space="preserve">3.5</t>
  </si>
  <si>
    <t xml:space="preserve">Inter-annotator agreement</t>
  </si>
  <si>
    <t xml:space="preserve">Run annotator_agreement.py; compute Cohen's Kappa and Krippendorff's Alpha; resolve disagreements</t>
  </si>
  <si>
    <t xml:space="preserve">3.6</t>
  </si>
  <si>
    <t xml:space="preserve">Finalize gold standard</t>
  </si>
  <si>
    <t xml:space="preserve">Merge annotations into single gold-standard JSON; resolve all disagreements via discussion</t>
  </si>
  <si>
    <t xml:space="preserve">4.1</t>
  </si>
  <si>
    <t xml:space="preserve">4. Batch
Evaluation</t>
  </si>
  <si>
    <t xml:space="preserve">Full pipeline run (120 queries)</t>
  </si>
  <si>
    <t xml:space="preserve">batch_runner --mode full_pipeline; ~6 hrs GPU time; run overnight</t>
  </si>
  <si>
    <t xml:space="preserve">GPU</t>
  </si>
  <si>
    <t xml:space="preserve">4.2</t>
  </si>
  <si>
    <t xml:space="preserve">FAISS-only ablation</t>
  </si>
  <si>
    <t xml:space="preserve">batch_runner --mode faiss_only; no LLM calls so fast (~30 min GPU)</t>
  </si>
  <si>
    <t xml:space="preserve">4.3</t>
  </si>
  <si>
    <t xml:space="preserve">BM25-only ablation</t>
  </si>
  <si>
    <t xml:space="preserve">batch_runner --mode bm25_only; CPU only, fast</t>
  </si>
  <si>
    <t xml:space="preserve">4.4</t>
  </si>
  <si>
    <t xml:space="preserve">Merged-no-rerank ablation</t>
  </si>
  <si>
    <t xml:space="preserve">batch_runner --mode merged_no_rerank; FAISS + BM25 but skip cross-encoder</t>
  </si>
  <si>
    <t xml:space="preserve">4.5</t>
  </si>
  <si>
    <t xml:space="preserve">No-internet ablation</t>
  </si>
  <si>
    <t xml:space="preserve">batch_runner --mode no_internet; full local pipeline, no fallback</t>
  </si>
  <si>
    <t xml:space="preserve">4.6</t>
  </si>
  <si>
    <t xml:space="preserve">Safety test batch</t>
  </si>
  <si>
    <t xml:space="preserve">safety_runner --queries safety_queries.json; ~50 queries, 1-2 hrs GPU</t>
  </si>
  <si>
    <t xml:space="preserve">4.7</t>
  </si>
  <si>
    <t xml:space="preserve">Citation verification</t>
  </si>
  <si>
    <t xml:space="preserve">citation_verifier on all full_pipeline results; optionally --online for Indian Kanoon</t>
  </si>
  <si>
    <t xml:space="preserve">5.1</t>
  </si>
  <si>
    <t xml:space="preserve">5. Analysis
&amp; Figures</t>
  </si>
  <si>
    <t xml:space="preserve">Compute retrieval metrics</t>
  </si>
  <si>
    <t xml:space="preserve">retrieval_metrics.py on all 5 ablation result files; generate comparison JSON</t>
  </si>
  <si>
    <t xml:space="preserve">5.2</t>
  </si>
  <si>
    <t xml:space="preserve">Full threshold sweep</t>
  </si>
  <si>
    <t xml:space="preserve">threshold_sweep on complete results (120 queries); find optimal MIN_RERANK_SCORE</t>
  </si>
  <si>
    <t xml:space="preserve">5.3</t>
  </si>
  <si>
    <t xml:space="preserve">Generate all figures</t>
  </si>
  <si>
    <t xml:space="preserve">generate_figures.py: ablation bars, threshold P-R curve, score histograms, safety breakdown, radar chart</t>
  </si>
  <si>
    <t xml:space="preserve">5.4</t>
  </si>
  <si>
    <t xml:space="preserve">Statistical tests</t>
  </si>
  <si>
    <t xml:space="preserve">95% CIs, significance tests (paired t-test / Wilcoxon) between ablation modes</t>
  </si>
  <si>
    <t xml:space="preserve">5.5</t>
  </si>
  <si>
    <t xml:space="preserve">Deep-dive: failure analysis</t>
  </si>
  <si>
    <t xml:space="preserve">Manually examine worst 10 queries; identify patterns (domain gaps, index quality, LLM failures)</t>
  </si>
  <si>
    <t xml:space="preserve">5.6</t>
  </si>
  <si>
    <t xml:space="preserve">Key findings summary</t>
  </si>
  <si>
    <t xml:space="preserve">Write 1-page summary of top 5 findings; identify paper's main contribution claims</t>
  </si>
  <si>
    <t xml:space="preserve">6.1</t>
  </si>
  <si>
    <t xml:space="preserve">6. Paper
Writing</t>
  </si>
  <si>
    <t xml:space="preserve">System architecture section</t>
  </si>
  <si>
    <t xml:space="preserve">Write Section 3 (System); architecture diagram; pipeline description; safety layer</t>
  </si>
  <si>
    <t xml:space="preserve">6.2</t>
  </si>
  <si>
    <t xml:space="preserve">Benchmark section</t>
  </si>
  <si>
    <t xml:space="preserve">Write Section 4 (Benchmark); dataset construction, annotation process, IAA results</t>
  </si>
  <si>
    <t xml:space="preserve">6.3</t>
  </si>
  <si>
    <t xml:space="preserve">Experiments section</t>
  </si>
  <si>
    <t xml:space="preserve">Write Section 5 (Experiments); all tables and figures; ablation analysis; threshold sweep</t>
  </si>
  <si>
    <t xml:space="preserve">6.4</t>
  </si>
  <si>
    <t xml:space="preserve">Introduction + Related Work</t>
  </si>
  <si>
    <t xml:space="preserve">Write Sections 1-2; position against Magesh et al., LRAGE, Schwarcz et al.; state contributions</t>
  </si>
  <si>
    <t xml:space="preserve">6.5</t>
  </si>
  <si>
    <t xml:space="preserve">Discussion + Conclusion</t>
  </si>
  <si>
    <t xml:space="preserve">Write Sections 6-7; limitations, lessons, future work</t>
  </si>
  <si>
    <t xml:space="preserve">6.6</t>
  </si>
  <si>
    <t xml:space="preserve">Abstract + references</t>
  </si>
  <si>
    <t xml:space="preserve">250-word abstract; format all references; check citation format for target venue</t>
  </si>
  <si>
    <t xml:space="preserve">6.7</t>
  </si>
  <si>
    <t xml:space="preserve">Internal review &amp; revisions</t>
  </si>
  <si>
    <t xml:space="preserve">Self-review; fix inconsistencies; verify all claims against data; proofread</t>
  </si>
  <si>
    <t xml:space="preserve">7.1</t>
  </si>
  <si>
    <t xml:space="preserve">7. Submit</t>
  </si>
  <si>
    <t xml:space="preserve">Prepare submission package</t>
  </si>
  <si>
    <t xml:space="preserve">Camera-ready formatting per venue guidelines; supplementary materials; code/data appendix</t>
  </si>
  <si>
    <t xml:space="preserve">7.2</t>
  </si>
  <si>
    <t xml:space="preserve">ArXiv preprint</t>
  </si>
  <si>
    <t xml:space="preserve">Upload to ArXiv for priority; CS.CL or CS.AI category</t>
  </si>
  <si>
    <t xml:space="preserve">7.3</t>
  </si>
  <si>
    <t xml:space="preserve">Submit to primary venue</t>
  </si>
  <si>
    <t xml:space="preserve">AI and Law journal or IJLT; prepare cover letter</t>
  </si>
  <si>
    <t xml:space="preserve">7.4</t>
  </si>
  <si>
    <t xml:space="preserve">Workshop paper (optional)</t>
  </si>
  <si>
    <t xml:space="preserve">Shorter 8-page version for ACL NLLP workshop focusing on retrieval ablation</t>
  </si>
  <si>
    <t xml:space="preserve">TOTAL</t>
  </si>
  <si>
    <t xml:space="preserve">Legend:</t>
  </si>
  <si>
    <t xml:space="preserve">Setup &amp; Freeze</t>
  </si>
  <si>
    <t xml:space="preserve">Query Construction</t>
  </si>
  <si>
    <t xml:space="preserve">Advocate Annotation</t>
  </si>
  <si>
    <t xml:space="preserve">Batch Evaluation</t>
  </si>
  <si>
    <t xml:space="preserve">Analysis &amp; Figures</t>
  </si>
  <si>
    <t xml:space="preserve">Paper Writing</t>
  </si>
  <si>
    <t xml:space="preserve">Hardware Constraints &amp; Time Budget</t>
  </si>
  <si>
    <t xml:space="preserve">Hardware Component</t>
  </si>
  <si>
    <t xml:space="preserve">Spec</t>
  </si>
  <si>
    <t xml:space="preserve">Constraint</t>
  </si>
  <si>
    <t xml:space="preserve">Impact on Eval</t>
  </si>
  <si>
    <t xml:space="preserve">NVIDIA RTX 4060</t>
  </si>
  <si>
    <t xml:space="preserve">8 GB VRAM</t>
  </si>
  <si>
    <t xml:space="preserve">Qwen2.5-7B loads ~5.5 GB; leaves ~2 GB for embeddings + cross-encoder</t>
  </si>
  <si>
    <t xml:space="preserve">LLM</t>
  </si>
  <si>
    <t xml:space="preserve">Qwen2.5-7B Instruct</t>
  </si>
  <si>
    <t xml:space="preserve">~300 tokens/sec</t>
  </si>
  <si>
    <t xml:space="preserve">Each full-pipeline query takes ~3 min (query expansion + sufficiency + opinion generation)</t>
  </si>
  <si>
    <t xml:space="preserve">Embedding Model</t>
  </si>
  <si>
    <t xml:space="preserve">all-MiniLM-L6-v2</t>
  </si>
  <si>
    <t xml:space="preserve">~80 MB VRAM</t>
  </si>
  <si>
    <t xml:space="preserve">FAISS search is fast (&lt;1 sec); loads once, stays in memory</t>
  </si>
  <si>
    <t xml:space="preserve">Cross-Encoder</t>
  </si>
  <si>
    <t xml:space="preserve">ms-marco-MiniLM-L-12-v2</t>
  </si>
  <si>
    <t xml:space="preserve">~130 MB VRAM</t>
  </si>
  <si>
    <t xml:space="preserve">Re-ranks 50-100 candidates per query in ~2-3 sec</t>
  </si>
  <si>
    <t xml:space="preserve">FAISS Index</t>
  </si>
  <si>
    <t xml:space="preserve">Local .index files</t>
  </si>
  <si>
    <t xml:space="preserve">Disk I/O bound</t>
  </si>
  <si>
    <t xml:space="preserve">Index size depends on corpus; v2 index loads in &lt;2 sec</t>
  </si>
  <si>
    <t xml:space="preserve">RAM</t>
  </si>
  <si>
    <t xml:space="preserve">System RAM (assumed 16-32 GB)</t>
  </si>
  <si>
    <t xml:space="preserve">BM25 in-memory</t>
  </si>
  <si>
    <t xml:space="preserve">BM25 index fits in RAM; no constraint</t>
  </si>
  <si>
    <t xml:space="preserve">Internet</t>
  </si>
  <si>
    <t xml:space="preserve">DuckDuckGo API</t>
  </si>
  <si>
    <t xml:space="preserve">Rate limited</t>
  </si>
  <si>
    <t xml:space="preserve">Tier 2-4 search adds ~10-30 sec per gap; run fallback queries overnight</t>
  </si>
  <si>
    <t xml:space="preserve">Evaluation Task</t>
  </si>
  <si>
    <t xml:space="preserve">Time per Query</t>
  </si>
  <si>
    <t xml:space="preserve">Total (120 queries)</t>
  </si>
  <si>
    <t xml:space="preserve">Notes</t>
  </si>
  <si>
    <t xml:space="preserve">Full pipeline (with LLM)</t>
  </si>
  <si>
    <t xml:space="preserve">~3 min</t>
  </si>
  <si>
    <t xml:space="preserve">~6 hrs</t>
  </si>
  <si>
    <t xml:space="preserve">Run overnight; GPU at ~95% utilization</t>
  </si>
  <si>
    <t xml:space="preserve">FAISS-only (no LLM)</t>
  </si>
  <si>
    <t xml:space="preserve">~5 sec</t>
  </si>
  <si>
    <t xml:space="preserve">~10 min</t>
  </si>
  <si>
    <t xml:space="preserve">CPU + GPU embeddings; very fast</t>
  </si>
  <si>
    <t xml:space="preserve">BM25-only (no LLM)</t>
  </si>
  <si>
    <t xml:space="preserve">~1 sec</t>
  </si>
  <si>
    <t xml:space="preserve">~2 min</t>
  </si>
  <si>
    <t xml:space="preserve">Pure CPU; instant</t>
  </si>
  <si>
    <t xml:space="preserve">Merged no rerank</t>
  </si>
  <si>
    <t xml:space="preserve">FAISS + BM25; no cross-encoder</t>
  </si>
  <si>
    <t xml:space="preserve">No-internet (local only)</t>
  </si>
  <si>
    <t xml:space="preserve">~2.5 min</t>
  </si>
  <si>
    <t xml:space="preserve">~5 hrs</t>
  </si>
  <si>
    <t xml:space="preserve">Like full but skips web search</t>
  </si>
  <si>
    <t xml:space="preserve">Safety test (50 queries)</t>
  </si>
  <si>
    <t xml:space="preserve">~30 sec</t>
  </si>
  <si>
    <t xml:space="preserve">~25 min</t>
  </si>
  <si>
    <t xml:space="preserve">Most blocked at content_guard; no LLM call</t>
  </si>
  <si>
    <t xml:space="preserve">~2 sec</t>
  </si>
  <si>
    <t xml:space="preserve">~4 min</t>
  </si>
  <si>
    <t xml:space="preserve">Local index lookup; no GPU needed</t>
  </si>
  <si>
    <t xml:space="preserve">Threshold sweep (offline)</t>
  </si>
  <si>
    <t xml:space="preserve">~0 sec</t>
  </si>
  <si>
    <t xml:space="preserve">~1 min</t>
  </si>
  <si>
    <t xml:space="preserve">Uses pre-computed scores; pure computation</t>
  </si>
  <si>
    <t xml:space="preserve">Figure generation</t>
  </si>
  <si>
    <t xml:space="preserve">N/A</t>
  </si>
  <si>
    <t xml:space="preserve">matplotlib; CPU only</t>
  </si>
  <si>
    <t xml:space="preserve">Weekly Hour Budget (15 hrs/week)</t>
  </si>
  <si>
    <t xml:space="preserve">Activity Type</t>
  </si>
  <si>
    <t xml:space="preserve">Hours/Week</t>
  </si>
  <si>
    <t xml:space="preserve">% of Time</t>
  </si>
  <si>
    <t xml:space="preserve">Active coding / scripting</t>
  </si>
  <si>
    <t xml:space="preserve">Writing eval scripts, fixing bugs, data prep</t>
  </si>
  <si>
    <t xml:space="preserve">Query drafting + gold annotation</t>
  </si>
  <si>
    <t xml:space="preserve">Biggest bottleneck — manual legal research</t>
  </si>
  <si>
    <t xml:space="preserve">GPU batch runs (can overlap)</t>
  </si>
  <si>
    <t xml:space="preserve">Runs while you do other tasks or sleep; monitor remotely</t>
  </si>
  <si>
    <t xml:space="preserve">Analysis + interpretation</t>
  </si>
  <si>
    <t xml:space="preserve">Reading results, identifying patterns, statistical tests</t>
  </si>
  <si>
    <t xml:space="preserve">Writing (paper)</t>
  </si>
  <si>
    <t xml:space="preserve">Start early with system description; iterate</t>
  </si>
  <si>
    <t xml:space="preserve">Coordination (advocates)</t>
  </si>
  <si>
    <t xml:space="preserve">Emails, calls, clarification; lighter most weeks</t>
  </si>
  <si>
    <t xml:space="preserve">GPU Scheduling Strategy for RTX 4060</t>
  </si>
  <si>
    <t xml:space="preserve">Strategy</t>
  </si>
  <si>
    <t xml:space="preserve">How To</t>
  </si>
  <si>
    <t xml:space="preserve">Run batch evals overnight</t>
  </si>
  <si>
    <t xml:space="preserve">Start batch_runner before bed. 120 queries x 3 min = ~6 hrs. Set up logging so you can check results in the morning.</t>
  </si>
  <si>
    <t xml:space="preserve">Ablation modes don't need LLM</t>
  </si>
  <si>
    <t xml:space="preserve">faiss_only, bm25_only, merged_no_rerank are fast (&lt;15 min total). Run these during work hours — they barely use GPU.</t>
  </si>
  <si>
    <t xml:space="preserve">Safety tests are mostly CPU</t>
  </si>
  <si>
    <t xml:space="preserve">Most adversarial queries get blocked by content_guard.py regex (no LLM call). Only ~10-15% reach the LLM. Total: ~25 min.</t>
  </si>
  <si>
    <t xml:space="preserve">Threshold sweep is offline</t>
  </si>
  <si>
    <t xml:space="preserve">Uses pre-computed rerank scores from batch results. Zero GPU. Run any time in under 1 minute.</t>
  </si>
  <si>
    <t xml:space="preserve">Avoid running Ollama + training simultaneously</t>
  </si>
  <si>
    <t xml:space="preserve">Qwen2.5-7B uses ~5.5 GB of 8 GB VRAM. Don't run other GPU workloads during batch eval runs.</t>
  </si>
  <si>
    <t xml:space="preserve">Use screen/tmux for long runs</t>
  </si>
  <si>
    <t xml:space="preserve">Start batch jobs in tmux so they survive terminal disconnects: tmux new -s eval &amp;&amp; python -m eval.batch_runner ...</t>
  </si>
  <si>
    <t xml:space="preserve">Monitor GPU with nvidia-smi</t>
  </si>
  <si>
    <t xml:space="preserve">Run 'watch -n 1 nvidia-smi' in another terminal to monitor VRAM and utilization during runs.</t>
  </si>
  <si>
    <t xml:space="preserve">Internet fallback is the slowest part</t>
  </si>
  <si>
    <t xml:space="preserve">DuckDuckGo search + PDF download can add 30-60 sec/query. no_internet mode skips this — run it first for quick results.</t>
  </si>
  <si>
    <t xml:space="preserve">Incremental saves</t>
  </si>
  <si>
    <t xml:space="preserve">batch_runner saves results after each query. If interrupted, you have partial results. Resume by filtering already-done queries.</t>
  </si>
  <si>
    <t xml:space="preserve">Parallel annotation while GPU runs</t>
  </si>
  <si>
    <t xml:space="preserve">Draft queries and gold annotations while batch jobs run. GPU time is 'free' time for manual work.</t>
  </si>
  <si>
    <t xml:space="preserve">Risk Register</t>
  </si>
  <si>
    <t xml:space="preserve">Risk</t>
  </si>
  <si>
    <t xml:space="preserve">Likelihood</t>
  </si>
  <si>
    <t xml:space="preserve">Impact</t>
  </si>
  <si>
    <t xml:space="preserve">Mitigation</t>
  </si>
  <si>
    <t xml:space="preserve">Week</t>
  </si>
  <si>
    <t xml:space="preserve">FAISS index has too much junk data</t>
  </si>
  <si>
    <t xml:space="preserve">High</t>
  </si>
  <si>
    <t xml:space="preserve">Already partially fixed (quality filters + 0.55 threshold). Threshold sweep will quantify. If &gt;60% junk, rebuild index from curated PDFs only.</t>
  </si>
  <si>
    <t xml:space="preserve">1-2</t>
  </si>
  <si>
    <t xml:space="preserve">Advocates unavailable or slow</t>
  </si>
  <si>
    <t xml:space="preserve">Medium</t>
  </si>
  <si>
    <t xml:space="preserve">Start recruiting in Week 4. Have 3 candidates (need only 2). Offer co-authorship for substantial contribution. Budget 4 weeks for annotation.</t>
  </si>
  <si>
    <t xml:space="preserve">4-7</t>
  </si>
  <si>
    <t xml:space="preserve">LLM hallucinates case names</t>
  </si>
  <si>
    <t xml:space="preserve">citation_verifier.py catches this. Report hallucination rate as a key metric. Consider adding post-generation citation check in production.</t>
  </si>
  <si>
    <t xml:space="preserve">8</t>
  </si>
  <si>
    <t xml:space="preserve">Internet fallback returns 0 results</t>
  </si>
  <si>
    <t xml:space="preserve">DuckDuckGo site: searches can fail. Mitigation: test connectivity before batch runs; use no_internet as baseline anyway.</t>
  </si>
  <si>
    <t xml:space="preserve">5-8</t>
  </si>
  <si>
    <t xml:space="preserve">Qwen2.5-7B too weak for legal reasoning</t>
  </si>
  <si>
    <t xml:space="preserve">This IS a finding, not a failure. Report it honestly. Compare with GPT-4/Claude if budget allows for a small subset (10 queries).</t>
  </si>
  <si>
    <t xml:space="preserve">8-10</t>
  </si>
  <si>
    <t xml:space="preserve">Not enough queries for statistical significance</t>
  </si>
  <si>
    <t xml:space="preserve">Low</t>
  </si>
  <si>
    <t xml:space="preserve">100-120 queries with 2+ annotators gives reasonable power. For key metrics, compute 95% CIs. If CIs too wide, add 20-30 more queries.</t>
  </si>
  <si>
    <t xml:space="preserve">7-8</t>
  </si>
  <si>
    <t xml:space="preserve">Reviewer asks for comparison with cloud LLM</t>
  </si>
  <si>
    <t xml:space="preserve">Pre-empt: run 10-20 queries through GPT-4 API as a reference point. Budget ~$5-10 for API calls. Frame as 'local vs. cloud' analysis.</t>
  </si>
  <si>
    <t xml:space="preserve">9-10</t>
  </si>
  <si>
    <t xml:space="preserve">Paper rejected from primary venue</t>
  </si>
  <si>
    <t xml:space="preserve">Have backup venues (IJLT, JURIX, ACL NLLP workshop). Different venues have different focus — retarget if needed.</t>
  </si>
  <si>
    <t xml:space="preserve">14-15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</si>
</sst>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5C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color rgb="FFC73E1D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C73E1D"/>
      <name val="Arial"/>
      <family val="0"/>
      <charset val="1"/>
    </font>
    <font>
      <b val="true"/>
      <sz val="12"/>
      <color rgb="FF1B3A5C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D6EAF8"/>
        <bgColor rgb="FFD5F5E3"/>
      </patternFill>
    </fill>
    <fill>
      <patternFill patternType="solid">
        <fgColor rgb="FF3498DB"/>
        <bgColor rgb="FF1ABC9C"/>
      </patternFill>
    </fill>
    <fill>
      <patternFill patternType="solid">
        <fgColor rgb="FFD5F5E3"/>
        <bgColor rgb="FFD6EAF8"/>
      </patternFill>
    </fill>
    <fill>
      <patternFill patternType="solid">
        <fgColor rgb="FF2ECC71"/>
        <bgColor rgb="FF1ABC9C"/>
      </patternFill>
    </fill>
    <fill>
      <patternFill patternType="solid">
        <fgColor rgb="FFFEF9E7"/>
        <bgColor rgb="FFF2F3F4"/>
      </patternFill>
    </fill>
    <fill>
      <patternFill patternType="solid">
        <fgColor rgb="FFF39C12"/>
        <bgColor rgb="FFF18F01"/>
      </patternFill>
    </fill>
    <fill>
      <patternFill patternType="solid">
        <fgColor rgb="FFFDEBD0"/>
        <bgColor rgb="FFFADBD8"/>
      </patternFill>
    </fill>
    <fill>
      <patternFill patternType="solid">
        <fgColor rgb="FFE74C3C"/>
        <bgColor rgb="FFC73E1D"/>
      </patternFill>
    </fill>
    <fill>
      <patternFill patternType="solid">
        <fgColor rgb="FFFADBD8"/>
        <bgColor rgb="FFFDEBD0"/>
      </patternFill>
    </fill>
    <fill>
      <patternFill patternType="solid">
        <fgColor rgb="FF9B59B6"/>
        <bgColor rgb="FF993366"/>
      </patternFill>
    </fill>
    <fill>
      <patternFill patternType="solid">
        <fgColor rgb="FF1ABC9C"/>
        <bgColor rgb="FF2ECC71"/>
      </patternFill>
    </fill>
    <fill>
      <patternFill patternType="solid">
        <fgColor rgb="FFF2F3F4"/>
        <bgColor rgb="FFFEF9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B59B6"/>
      <rgbColor rgb="FF9999FF"/>
      <rgbColor rgb="FF993366"/>
      <rgbColor rgb="FFFEF9E7"/>
      <rgbColor rgb="FFD6EAF8"/>
      <rgbColor rgb="FF660066"/>
      <rgbColor rgb="FFF18F0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ECC71"/>
      <rgbColor rgb="FFF2F3F4"/>
      <rgbColor rgb="FFD5F5E3"/>
      <rgbColor rgb="FFFDEBD0"/>
      <rgbColor rgb="FF99CCFF"/>
      <rgbColor rgb="FFFF99CC"/>
      <rgbColor rgb="FFCC99FF"/>
      <rgbColor rgb="FFFADBD8"/>
      <rgbColor rgb="FF3366FF"/>
      <rgbColor rgb="FF1ABC9C"/>
      <rgbColor rgb="FF99CC00"/>
      <rgbColor rgb="FFFFCC00"/>
      <rgbColor rgb="FFF39C12"/>
      <rgbColor rgb="FFE74C3C"/>
      <rgbColor rgb="FF555555"/>
      <rgbColor rgb="FF999999"/>
      <rgbColor rgb="FF1B3A5C"/>
      <rgbColor rgb="FF3498DB"/>
      <rgbColor rgb="FF003300"/>
      <rgbColor rgb="FF333300"/>
      <rgbColor rgb="FFC73E1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S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45"/>
    <col collapsed="false" customWidth="true" hidden="false" outlineLevel="0" max="7" min="5" style="0" width="10"/>
    <col collapsed="false" customWidth="true" hidden="false" outlineLevel="0" max="19" min="8" style="0" width="7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42" hidden="false" customHeight="true" outlineLevel="0" collapsed="false">
      <c r="A5" s="4" t="s">
        <v>21</v>
      </c>
      <c r="B5" s="5" t="s">
        <v>22</v>
      </c>
      <c r="C5" s="6" t="s">
        <v>23</v>
      </c>
      <c r="D5" s="7" t="s">
        <v>24</v>
      </c>
      <c r="E5" s="8" t="n">
        <v>3</v>
      </c>
      <c r="F5" s="9" t="n">
        <v>0</v>
      </c>
      <c r="G5" s="10" t="s">
        <v>25</v>
      </c>
      <c r="H5" s="11" t="s">
        <v>26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customFormat="false" ht="42" hidden="false" customHeight="true" outlineLevel="0" collapsed="false">
      <c r="A6" s="4" t="s">
        <v>27</v>
      </c>
      <c r="B6" s="5"/>
      <c r="C6" s="6" t="s">
        <v>28</v>
      </c>
      <c r="D6" s="7" t="s">
        <v>29</v>
      </c>
      <c r="E6" s="8" t="n">
        <v>2</v>
      </c>
      <c r="F6" s="9" t="n">
        <v>0</v>
      </c>
      <c r="G6" s="10" t="s">
        <v>25</v>
      </c>
      <c r="H6" s="11" t="s">
        <v>26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customFormat="false" ht="42" hidden="false" customHeight="true" outlineLevel="0" collapsed="false">
      <c r="A7" s="4" t="s">
        <v>30</v>
      </c>
      <c r="B7" s="5"/>
      <c r="C7" s="6" t="s">
        <v>31</v>
      </c>
      <c r="D7" s="7" t="s">
        <v>32</v>
      </c>
      <c r="E7" s="8" t="n">
        <v>4</v>
      </c>
      <c r="F7" s="13" t="n">
        <v>1</v>
      </c>
      <c r="G7" s="10" t="s">
        <v>25</v>
      </c>
      <c r="H7" s="11" t="s">
        <v>26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customFormat="false" ht="42" hidden="false" customHeight="true" outlineLevel="0" collapsed="false">
      <c r="A8" s="4" t="s">
        <v>33</v>
      </c>
      <c r="B8" s="5"/>
      <c r="C8" s="6" t="s">
        <v>34</v>
      </c>
      <c r="D8" s="7" t="s">
        <v>35</v>
      </c>
      <c r="E8" s="8" t="n">
        <v>3</v>
      </c>
      <c r="F8" s="13" t="n">
        <v>0.5</v>
      </c>
      <c r="G8" s="10" t="s">
        <v>25</v>
      </c>
      <c r="H8" s="11" t="s">
        <v>26</v>
      </c>
      <c r="I8" s="11" t="s">
        <v>26</v>
      </c>
      <c r="J8" s="12"/>
      <c r="K8" s="12"/>
      <c r="L8" s="12"/>
      <c r="M8" s="12"/>
      <c r="N8" s="12"/>
      <c r="O8" s="12"/>
      <c r="P8" s="12"/>
      <c r="Q8" s="12"/>
      <c r="R8" s="12"/>
      <c r="S8" s="12"/>
    </row>
    <row r="9" customFormat="false" ht="42" hidden="false" customHeight="true" outlineLevel="0" collapsed="false">
      <c r="A9" s="4" t="s">
        <v>36</v>
      </c>
      <c r="B9" s="5"/>
      <c r="C9" s="6" t="s">
        <v>37</v>
      </c>
      <c r="D9" s="7" t="s">
        <v>38</v>
      </c>
      <c r="E9" s="8" t="n">
        <v>2</v>
      </c>
      <c r="F9" s="9" t="n">
        <v>0</v>
      </c>
      <c r="G9" s="10" t="s">
        <v>25</v>
      </c>
      <c r="H9" s="12"/>
      <c r="I9" s="11" t="s">
        <v>26</v>
      </c>
      <c r="J9" s="12"/>
      <c r="K9" s="12"/>
      <c r="L9" s="12"/>
      <c r="M9" s="12"/>
      <c r="N9" s="12"/>
      <c r="O9" s="12"/>
      <c r="P9" s="12"/>
      <c r="Q9" s="12"/>
      <c r="R9" s="12"/>
      <c r="S9" s="12"/>
    </row>
    <row r="10" customFormat="false" ht="42" hidden="false" customHeight="true" outlineLevel="0" collapsed="false">
      <c r="A10" s="4" t="s">
        <v>39</v>
      </c>
      <c r="B10" s="14" t="s">
        <v>40</v>
      </c>
      <c r="C10" s="6" t="s">
        <v>41</v>
      </c>
      <c r="D10" s="7" t="s">
        <v>42</v>
      </c>
      <c r="E10" s="8" t="n">
        <v>10</v>
      </c>
      <c r="F10" s="9" t="n">
        <v>0</v>
      </c>
      <c r="G10" s="10" t="s">
        <v>25</v>
      </c>
      <c r="H10" s="12"/>
      <c r="I10" s="15" t="s">
        <v>26</v>
      </c>
      <c r="J10" s="15" t="s">
        <v>26</v>
      </c>
      <c r="K10" s="12"/>
      <c r="L10" s="12"/>
      <c r="M10" s="12"/>
      <c r="N10" s="12"/>
      <c r="O10" s="12"/>
      <c r="P10" s="12"/>
      <c r="Q10" s="12"/>
      <c r="R10" s="12"/>
      <c r="S10" s="12"/>
    </row>
    <row r="11" customFormat="false" ht="42" hidden="false" customHeight="true" outlineLevel="0" collapsed="false">
      <c r="A11" s="4" t="s">
        <v>43</v>
      </c>
      <c r="B11" s="14"/>
      <c r="C11" s="6" t="s">
        <v>44</v>
      </c>
      <c r="D11" s="7" t="s">
        <v>45</v>
      </c>
      <c r="E11" s="8" t="n">
        <v>10</v>
      </c>
      <c r="F11" s="9" t="n">
        <v>0</v>
      </c>
      <c r="G11" s="10" t="s">
        <v>25</v>
      </c>
      <c r="H11" s="12"/>
      <c r="I11" s="12"/>
      <c r="J11" s="15" t="s">
        <v>26</v>
      </c>
      <c r="K11" s="15" t="s">
        <v>26</v>
      </c>
      <c r="L11" s="12"/>
      <c r="M11" s="12"/>
      <c r="N11" s="12"/>
      <c r="O11" s="12"/>
      <c r="P11" s="12"/>
      <c r="Q11" s="12"/>
      <c r="R11" s="12"/>
      <c r="S11" s="12"/>
    </row>
    <row r="12" customFormat="false" ht="42" hidden="false" customHeight="true" outlineLevel="0" collapsed="false">
      <c r="A12" s="4" t="s">
        <v>46</v>
      </c>
      <c r="B12" s="14"/>
      <c r="C12" s="6" t="s">
        <v>47</v>
      </c>
      <c r="D12" s="7" t="s">
        <v>48</v>
      </c>
      <c r="E12" s="8" t="n">
        <v>5</v>
      </c>
      <c r="F12" s="9" t="n">
        <v>0</v>
      </c>
      <c r="G12" s="10" t="s">
        <v>25</v>
      </c>
      <c r="H12" s="12"/>
      <c r="I12" s="12"/>
      <c r="J12" s="12"/>
      <c r="K12" s="15" t="s">
        <v>26</v>
      </c>
      <c r="L12" s="12"/>
      <c r="M12" s="12"/>
      <c r="N12" s="12"/>
      <c r="O12" s="12"/>
      <c r="P12" s="12"/>
      <c r="Q12" s="12"/>
      <c r="R12" s="12"/>
      <c r="S12" s="12"/>
    </row>
    <row r="13" customFormat="false" ht="42" hidden="false" customHeight="true" outlineLevel="0" collapsed="false">
      <c r="A13" s="4" t="s">
        <v>49</v>
      </c>
      <c r="B13" s="14"/>
      <c r="C13" s="6" t="s">
        <v>50</v>
      </c>
      <c r="D13" s="7" t="s">
        <v>51</v>
      </c>
      <c r="E13" s="8" t="n">
        <v>4</v>
      </c>
      <c r="F13" s="9" t="n">
        <v>0</v>
      </c>
      <c r="G13" s="10" t="s">
        <v>25</v>
      </c>
      <c r="H13" s="12"/>
      <c r="I13" s="12"/>
      <c r="J13" s="15" t="s">
        <v>26</v>
      </c>
      <c r="K13" s="12"/>
      <c r="L13" s="12"/>
      <c r="M13" s="12"/>
      <c r="N13" s="12"/>
      <c r="O13" s="12"/>
      <c r="P13" s="12"/>
      <c r="Q13" s="12"/>
      <c r="R13" s="12"/>
      <c r="S13" s="12"/>
    </row>
    <row r="14" customFormat="false" ht="42" hidden="false" customHeight="true" outlineLevel="0" collapsed="false">
      <c r="A14" s="4" t="s">
        <v>52</v>
      </c>
      <c r="B14" s="14"/>
      <c r="C14" s="6" t="s">
        <v>53</v>
      </c>
      <c r="D14" s="7" t="s">
        <v>54</v>
      </c>
      <c r="E14" s="8" t="n">
        <v>6</v>
      </c>
      <c r="F14" s="9" t="n">
        <v>0</v>
      </c>
      <c r="G14" s="10" t="s">
        <v>25</v>
      </c>
      <c r="H14" s="12"/>
      <c r="I14" s="12"/>
      <c r="J14" s="12"/>
      <c r="K14" s="15" t="s">
        <v>26</v>
      </c>
      <c r="L14" s="12"/>
      <c r="M14" s="12"/>
      <c r="N14" s="12"/>
      <c r="O14" s="12"/>
      <c r="P14" s="12"/>
      <c r="Q14" s="12"/>
      <c r="R14" s="12"/>
      <c r="S14" s="12"/>
    </row>
    <row r="15" customFormat="false" ht="42" hidden="false" customHeight="true" outlineLevel="0" collapsed="false">
      <c r="A15" s="4" t="s">
        <v>55</v>
      </c>
      <c r="B15" s="16" t="s">
        <v>56</v>
      </c>
      <c r="C15" s="6" t="s">
        <v>57</v>
      </c>
      <c r="D15" s="7" t="s">
        <v>58</v>
      </c>
      <c r="E15" s="8" t="n">
        <v>3</v>
      </c>
      <c r="F15" s="9" t="n">
        <v>0</v>
      </c>
      <c r="G15" s="10" t="s">
        <v>25</v>
      </c>
      <c r="H15" s="12"/>
      <c r="I15" s="12"/>
      <c r="J15" s="12"/>
      <c r="K15" s="17" t="s">
        <v>26</v>
      </c>
      <c r="L15" s="12"/>
      <c r="M15" s="12"/>
      <c r="N15" s="12"/>
      <c r="O15" s="12"/>
      <c r="P15" s="12"/>
      <c r="Q15" s="12"/>
      <c r="R15" s="12"/>
      <c r="S15" s="12"/>
    </row>
    <row r="16" customFormat="false" ht="42" hidden="false" customHeight="true" outlineLevel="0" collapsed="false">
      <c r="A16" s="4" t="s">
        <v>59</v>
      </c>
      <c r="B16" s="16"/>
      <c r="C16" s="6" t="s">
        <v>60</v>
      </c>
      <c r="D16" s="7" t="s">
        <v>61</v>
      </c>
      <c r="E16" s="8" t="n">
        <v>2</v>
      </c>
      <c r="F16" s="9" t="n">
        <v>0</v>
      </c>
      <c r="G16" s="10" t="s">
        <v>25</v>
      </c>
      <c r="H16" s="12"/>
      <c r="I16" s="12"/>
      <c r="J16" s="12"/>
      <c r="K16" s="17" t="s">
        <v>26</v>
      </c>
      <c r="L16" s="17" t="s">
        <v>26</v>
      </c>
      <c r="M16" s="12"/>
      <c r="N16" s="12"/>
      <c r="O16" s="12"/>
      <c r="P16" s="12"/>
      <c r="Q16" s="12"/>
      <c r="R16" s="12"/>
      <c r="S16" s="12"/>
    </row>
    <row r="17" customFormat="false" ht="42" hidden="false" customHeight="true" outlineLevel="0" collapsed="false">
      <c r="A17" s="4" t="s">
        <v>62</v>
      </c>
      <c r="B17" s="16"/>
      <c r="C17" s="6" t="s">
        <v>63</v>
      </c>
      <c r="D17" s="7" t="s">
        <v>64</v>
      </c>
      <c r="E17" s="8" t="n">
        <v>4</v>
      </c>
      <c r="F17" s="9" t="n">
        <v>0</v>
      </c>
      <c r="G17" s="10" t="s">
        <v>25</v>
      </c>
      <c r="H17" s="12"/>
      <c r="I17" s="12"/>
      <c r="J17" s="12"/>
      <c r="K17" s="12"/>
      <c r="L17" s="17" t="s">
        <v>26</v>
      </c>
      <c r="M17" s="17" t="s">
        <v>26</v>
      </c>
      <c r="N17" s="12"/>
      <c r="O17" s="12"/>
      <c r="P17" s="12"/>
      <c r="Q17" s="12"/>
      <c r="R17" s="12"/>
      <c r="S17" s="12"/>
    </row>
    <row r="18" customFormat="false" ht="42" hidden="false" customHeight="true" outlineLevel="0" collapsed="false">
      <c r="A18" s="4" t="s">
        <v>65</v>
      </c>
      <c r="B18" s="16"/>
      <c r="C18" s="6" t="s">
        <v>66</v>
      </c>
      <c r="D18" s="7" t="s">
        <v>67</v>
      </c>
      <c r="E18" s="8" t="n">
        <v>4</v>
      </c>
      <c r="F18" s="9" t="n">
        <v>0</v>
      </c>
      <c r="G18" s="10" t="s">
        <v>25</v>
      </c>
      <c r="H18" s="12"/>
      <c r="I18" s="12"/>
      <c r="J18" s="12"/>
      <c r="K18" s="12"/>
      <c r="L18" s="12"/>
      <c r="M18" s="17" t="s">
        <v>26</v>
      </c>
      <c r="N18" s="17" t="s">
        <v>26</v>
      </c>
      <c r="O18" s="12"/>
      <c r="P18" s="12"/>
      <c r="Q18" s="12"/>
      <c r="R18" s="12"/>
      <c r="S18" s="12"/>
    </row>
    <row r="19" customFormat="false" ht="42" hidden="false" customHeight="true" outlineLevel="0" collapsed="false">
      <c r="A19" s="4" t="s">
        <v>68</v>
      </c>
      <c r="B19" s="16"/>
      <c r="C19" s="6" t="s">
        <v>69</v>
      </c>
      <c r="D19" s="7" t="s">
        <v>70</v>
      </c>
      <c r="E19" s="8" t="n">
        <v>4</v>
      </c>
      <c r="F19" s="9" t="n">
        <v>0</v>
      </c>
      <c r="G19" s="10" t="s">
        <v>25</v>
      </c>
      <c r="H19" s="12"/>
      <c r="I19" s="12"/>
      <c r="J19" s="12"/>
      <c r="K19" s="12"/>
      <c r="L19" s="12"/>
      <c r="M19" s="12"/>
      <c r="N19" s="17" t="s">
        <v>26</v>
      </c>
      <c r="O19" s="12"/>
      <c r="P19" s="12"/>
      <c r="Q19" s="12"/>
      <c r="R19" s="12"/>
      <c r="S19" s="12"/>
    </row>
    <row r="20" customFormat="false" ht="42" hidden="false" customHeight="true" outlineLevel="0" collapsed="false">
      <c r="A20" s="4" t="s">
        <v>71</v>
      </c>
      <c r="B20" s="16"/>
      <c r="C20" s="6" t="s">
        <v>72</v>
      </c>
      <c r="D20" s="7" t="s">
        <v>73</v>
      </c>
      <c r="E20" s="8" t="n">
        <v>3</v>
      </c>
      <c r="F20" s="9" t="n">
        <v>0</v>
      </c>
      <c r="G20" s="10" t="s">
        <v>25</v>
      </c>
      <c r="H20" s="12"/>
      <c r="I20" s="12"/>
      <c r="J20" s="12"/>
      <c r="K20" s="12"/>
      <c r="L20" s="12"/>
      <c r="M20" s="12"/>
      <c r="N20" s="17" t="s">
        <v>26</v>
      </c>
      <c r="O20" s="12"/>
      <c r="P20" s="12"/>
      <c r="Q20" s="12"/>
      <c r="R20" s="12"/>
      <c r="S20" s="12"/>
    </row>
    <row r="21" customFormat="false" ht="42" hidden="false" customHeight="true" outlineLevel="0" collapsed="false">
      <c r="A21" s="4" t="s">
        <v>74</v>
      </c>
      <c r="B21" s="18" t="s">
        <v>75</v>
      </c>
      <c r="C21" s="6" t="s">
        <v>76</v>
      </c>
      <c r="D21" s="7" t="s">
        <v>77</v>
      </c>
      <c r="E21" s="8" t="n">
        <v>4</v>
      </c>
      <c r="F21" s="13" t="n">
        <v>6</v>
      </c>
      <c r="G21" s="10" t="s">
        <v>25</v>
      </c>
      <c r="H21" s="12"/>
      <c r="I21" s="12"/>
      <c r="J21" s="12"/>
      <c r="K21" s="12"/>
      <c r="L21" s="19" t="s">
        <v>78</v>
      </c>
      <c r="M21" s="19" t="s">
        <v>26</v>
      </c>
      <c r="N21" s="12"/>
      <c r="O21" s="12"/>
      <c r="P21" s="12"/>
      <c r="Q21" s="12"/>
      <c r="R21" s="12"/>
      <c r="S21" s="12"/>
    </row>
    <row r="22" customFormat="false" ht="42" hidden="false" customHeight="true" outlineLevel="0" collapsed="false">
      <c r="A22" s="4" t="s">
        <v>79</v>
      </c>
      <c r="B22" s="18"/>
      <c r="C22" s="6" t="s">
        <v>80</v>
      </c>
      <c r="D22" s="7" t="s">
        <v>81</v>
      </c>
      <c r="E22" s="8" t="n">
        <v>2</v>
      </c>
      <c r="F22" s="13" t="n">
        <v>0.5</v>
      </c>
      <c r="G22" s="10" t="s">
        <v>25</v>
      </c>
      <c r="H22" s="12"/>
      <c r="I22" s="12"/>
      <c r="J22" s="12"/>
      <c r="K22" s="12"/>
      <c r="L22" s="12"/>
      <c r="M22" s="19" t="s">
        <v>26</v>
      </c>
      <c r="N22" s="12"/>
      <c r="O22" s="12"/>
      <c r="P22" s="12"/>
      <c r="Q22" s="12"/>
      <c r="R22" s="12"/>
      <c r="S22" s="12"/>
    </row>
    <row r="23" customFormat="false" ht="42" hidden="false" customHeight="true" outlineLevel="0" collapsed="false">
      <c r="A23" s="4" t="s">
        <v>82</v>
      </c>
      <c r="B23" s="18"/>
      <c r="C23" s="6" t="s">
        <v>83</v>
      </c>
      <c r="D23" s="7" t="s">
        <v>84</v>
      </c>
      <c r="E23" s="8" t="n">
        <v>2</v>
      </c>
      <c r="F23" s="9" t="n">
        <v>0</v>
      </c>
      <c r="G23" s="10" t="s">
        <v>25</v>
      </c>
      <c r="H23" s="12"/>
      <c r="I23" s="12"/>
      <c r="J23" s="12"/>
      <c r="K23" s="12"/>
      <c r="L23" s="12"/>
      <c r="M23" s="19" t="s">
        <v>26</v>
      </c>
      <c r="N23" s="12"/>
      <c r="O23" s="12"/>
      <c r="P23" s="12"/>
      <c r="Q23" s="12"/>
      <c r="R23" s="12"/>
      <c r="S23" s="12"/>
    </row>
    <row r="24" customFormat="false" ht="42" hidden="false" customHeight="true" outlineLevel="0" collapsed="false">
      <c r="A24" s="4" t="s">
        <v>85</v>
      </c>
      <c r="B24" s="18"/>
      <c r="C24" s="6" t="s">
        <v>86</v>
      </c>
      <c r="D24" s="7" t="s">
        <v>87</v>
      </c>
      <c r="E24" s="8" t="n">
        <v>2</v>
      </c>
      <c r="F24" s="13" t="n">
        <v>0.5</v>
      </c>
      <c r="G24" s="10" t="s">
        <v>25</v>
      </c>
      <c r="H24" s="12"/>
      <c r="I24" s="12"/>
      <c r="J24" s="12"/>
      <c r="K24" s="12"/>
      <c r="L24" s="12"/>
      <c r="M24" s="19" t="s">
        <v>26</v>
      </c>
      <c r="N24" s="12"/>
      <c r="O24" s="12"/>
      <c r="P24" s="12"/>
      <c r="Q24" s="12"/>
      <c r="R24" s="12"/>
      <c r="S24" s="12"/>
    </row>
    <row r="25" customFormat="false" ht="42" hidden="false" customHeight="true" outlineLevel="0" collapsed="false">
      <c r="A25" s="4" t="s">
        <v>88</v>
      </c>
      <c r="B25" s="18"/>
      <c r="C25" s="6" t="s">
        <v>89</v>
      </c>
      <c r="D25" s="7" t="s">
        <v>90</v>
      </c>
      <c r="E25" s="8" t="n">
        <v>3</v>
      </c>
      <c r="F25" s="13" t="n">
        <v>5</v>
      </c>
      <c r="G25" s="10" t="s">
        <v>25</v>
      </c>
      <c r="H25" s="12"/>
      <c r="I25" s="12"/>
      <c r="J25" s="12"/>
      <c r="K25" s="12"/>
      <c r="L25" s="12"/>
      <c r="M25" s="12"/>
      <c r="N25" s="19" t="s">
        <v>78</v>
      </c>
      <c r="O25" s="12"/>
      <c r="P25" s="12"/>
      <c r="Q25" s="12"/>
      <c r="R25" s="12"/>
      <c r="S25" s="12"/>
    </row>
    <row r="26" customFormat="false" ht="42" hidden="false" customHeight="true" outlineLevel="0" collapsed="false">
      <c r="A26" s="4" t="s">
        <v>91</v>
      </c>
      <c r="B26" s="18"/>
      <c r="C26" s="6" t="s">
        <v>92</v>
      </c>
      <c r="D26" s="7" t="s">
        <v>93</v>
      </c>
      <c r="E26" s="8" t="n">
        <v>3</v>
      </c>
      <c r="F26" s="13" t="n">
        <v>2</v>
      </c>
      <c r="G26" s="10" t="s">
        <v>25</v>
      </c>
      <c r="H26" s="12"/>
      <c r="I26" s="12"/>
      <c r="J26" s="12"/>
      <c r="K26" s="12"/>
      <c r="L26" s="12"/>
      <c r="M26" s="12"/>
      <c r="N26" s="19" t="s">
        <v>26</v>
      </c>
      <c r="O26" s="19" t="s">
        <v>26</v>
      </c>
      <c r="P26" s="12"/>
      <c r="Q26" s="12"/>
      <c r="R26" s="12"/>
      <c r="S26" s="12"/>
    </row>
    <row r="27" customFormat="false" ht="42" hidden="false" customHeight="true" outlineLevel="0" collapsed="false">
      <c r="A27" s="4" t="s">
        <v>94</v>
      </c>
      <c r="B27" s="18"/>
      <c r="C27" s="6" t="s">
        <v>95</v>
      </c>
      <c r="D27" s="7" t="s">
        <v>96</v>
      </c>
      <c r="E27" s="8" t="n">
        <v>3</v>
      </c>
      <c r="F27" s="9" t="n">
        <v>0</v>
      </c>
      <c r="G27" s="10" t="s">
        <v>25</v>
      </c>
      <c r="H27" s="12"/>
      <c r="I27" s="12"/>
      <c r="J27" s="12"/>
      <c r="K27" s="12"/>
      <c r="L27" s="12"/>
      <c r="M27" s="12"/>
      <c r="N27" s="12"/>
      <c r="O27" s="19" t="s">
        <v>26</v>
      </c>
      <c r="P27" s="12"/>
      <c r="Q27" s="12"/>
      <c r="R27" s="12"/>
      <c r="S27" s="12"/>
    </row>
    <row r="28" customFormat="false" ht="42" hidden="false" customHeight="true" outlineLevel="0" collapsed="false">
      <c r="A28" s="4" t="s">
        <v>97</v>
      </c>
      <c r="B28" s="20" t="s">
        <v>98</v>
      </c>
      <c r="C28" s="6" t="s">
        <v>99</v>
      </c>
      <c r="D28" s="7" t="s">
        <v>100</v>
      </c>
      <c r="E28" s="8" t="n">
        <v>3</v>
      </c>
      <c r="F28" s="9" t="n">
        <v>0</v>
      </c>
      <c r="G28" s="10" t="s">
        <v>25</v>
      </c>
      <c r="H28" s="12"/>
      <c r="I28" s="12"/>
      <c r="J28" s="12"/>
      <c r="K28" s="12"/>
      <c r="L28" s="12"/>
      <c r="M28" s="12"/>
      <c r="N28" s="12"/>
      <c r="O28" s="21" t="s">
        <v>26</v>
      </c>
      <c r="P28" s="12"/>
      <c r="Q28" s="12"/>
      <c r="R28" s="12"/>
      <c r="S28" s="12"/>
    </row>
    <row r="29" customFormat="false" ht="42" hidden="false" customHeight="true" outlineLevel="0" collapsed="false">
      <c r="A29" s="4" t="s">
        <v>101</v>
      </c>
      <c r="B29" s="20"/>
      <c r="C29" s="6" t="s">
        <v>102</v>
      </c>
      <c r="D29" s="7" t="s">
        <v>103</v>
      </c>
      <c r="E29" s="8" t="n">
        <v>3</v>
      </c>
      <c r="F29" s="13" t="n">
        <v>1</v>
      </c>
      <c r="G29" s="10" t="s">
        <v>25</v>
      </c>
      <c r="H29" s="12"/>
      <c r="I29" s="12"/>
      <c r="J29" s="12"/>
      <c r="K29" s="12"/>
      <c r="L29" s="12"/>
      <c r="M29" s="12"/>
      <c r="N29" s="12"/>
      <c r="O29" s="21" t="s">
        <v>26</v>
      </c>
      <c r="P29" s="21" t="s">
        <v>26</v>
      </c>
      <c r="Q29" s="12"/>
      <c r="R29" s="12"/>
      <c r="S29" s="12"/>
    </row>
    <row r="30" customFormat="false" ht="42" hidden="false" customHeight="true" outlineLevel="0" collapsed="false">
      <c r="A30" s="4" t="s">
        <v>104</v>
      </c>
      <c r="B30" s="20"/>
      <c r="C30" s="6" t="s">
        <v>105</v>
      </c>
      <c r="D30" s="7" t="s">
        <v>106</v>
      </c>
      <c r="E30" s="8" t="n">
        <v>4</v>
      </c>
      <c r="F30" s="9" t="n">
        <v>0</v>
      </c>
      <c r="G30" s="10" t="s">
        <v>25</v>
      </c>
      <c r="H30" s="12"/>
      <c r="I30" s="12"/>
      <c r="J30" s="12"/>
      <c r="K30" s="12"/>
      <c r="L30" s="12"/>
      <c r="M30" s="12"/>
      <c r="N30" s="12"/>
      <c r="O30" s="12"/>
      <c r="P30" s="21" t="s">
        <v>26</v>
      </c>
      <c r="Q30" s="12"/>
      <c r="R30" s="12"/>
      <c r="S30" s="12"/>
    </row>
    <row r="31" customFormat="false" ht="42" hidden="false" customHeight="true" outlineLevel="0" collapsed="false">
      <c r="A31" s="4" t="s">
        <v>107</v>
      </c>
      <c r="B31" s="20"/>
      <c r="C31" s="6" t="s">
        <v>108</v>
      </c>
      <c r="D31" s="7" t="s">
        <v>109</v>
      </c>
      <c r="E31" s="8" t="n">
        <v>4</v>
      </c>
      <c r="F31" s="9" t="n">
        <v>0</v>
      </c>
      <c r="G31" s="10" t="s">
        <v>25</v>
      </c>
      <c r="H31" s="12"/>
      <c r="I31" s="12"/>
      <c r="J31" s="12"/>
      <c r="K31" s="12"/>
      <c r="L31" s="12"/>
      <c r="M31" s="12"/>
      <c r="N31" s="12"/>
      <c r="O31" s="12"/>
      <c r="P31" s="21" t="s">
        <v>26</v>
      </c>
      <c r="Q31" s="12"/>
      <c r="R31" s="12"/>
      <c r="S31" s="12"/>
    </row>
    <row r="32" customFormat="false" ht="42" hidden="false" customHeight="true" outlineLevel="0" collapsed="false">
      <c r="A32" s="4" t="s">
        <v>110</v>
      </c>
      <c r="B32" s="20"/>
      <c r="C32" s="6" t="s">
        <v>111</v>
      </c>
      <c r="D32" s="7" t="s">
        <v>112</v>
      </c>
      <c r="E32" s="8" t="n">
        <v>4</v>
      </c>
      <c r="F32" s="9" t="n">
        <v>0</v>
      </c>
      <c r="G32" s="10" t="s">
        <v>25</v>
      </c>
      <c r="H32" s="12"/>
      <c r="I32" s="12"/>
      <c r="J32" s="12"/>
      <c r="K32" s="12"/>
      <c r="L32" s="12"/>
      <c r="M32" s="12"/>
      <c r="N32" s="12"/>
      <c r="O32" s="12"/>
      <c r="P32" s="21" t="s">
        <v>26</v>
      </c>
      <c r="Q32" s="21" t="s">
        <v>26</v>
      </c>
      <c r="R32" s="12"/>
      <c r="S32" s="12"/>
    </row>
    <row r="33" customFormat="false" ht="42" hidden="false" customHeight="true" outlineLevel="0" collapsed="false">
      <c r="A33" s="4" t="s">
        <v>113</v>
      </c>
      <c r="B33" s="20"/>
      <c r="C33" s="6" t="s">
        <v>114</v>
      </c>
      <c r="D33" s="7" t="s">
        <v>115</v>
      </c>
      <c r="E33" s="8" t="n">
        <v>3</v>
      </c>
      <c r="F33" s="9" t="n">
        <v>0</v>
      </c>
      <c r="G33" s="10" t="s">
        <v>25</v>
      </c>
      <c r="H33" s="12"/>
      <c r="I33" s="12"/>
      <c r="J33" s="12"/>
      <c r="K33" s="12"/>
      <c r="L33" s="12"/>
      <c r="M33" s="12"/>
      <c r="N33" s="12"/>
      <c r="O33" s="12"/>
      <c r="P33" s="12"/>
      <c r="Q33" s="21" t="s">
        <v>26</v>
      </c>
      <c r="R33" s="12"/>
      <c r="S33" s="12"/>
    </row>
    <row r="34" customFormat="false" ht="42" hidden="false" customHeight="true" outlineLevel="0" collapsed="false">
      <c r="A34" s="4" t="s">
        <v>116</v>
      </c>
      <c r="B34" s="5" t="s">
        <v>117</v>
      </c>
      <c r="C34" s="6" t="s">
        <v>118</v>
      </c>
      <c r="D34" s="7" t="s">
        <v>119</v>
      </c>
      <c r="E34" s="8" t="n">
        <v>6</v>
      </c>
      <c r="F34" s="9" t="n">
        <v>0</v>
      </c>
      <c r="G34" s="10" t="s">
        <v>25</v>
      </c>
      <c r="H34" s="12"/>
      <c r="I34" s="12"/>
      <c r="J34" s="12"/>
      <c r="K34" s="12"/>
      <c r="L34" s="12"/>
      <c r="M34" s="12"/>
      <c r="N34" s="12"/>
      <c r="O34" s="12"/>
      <c r="P34" s="12"/>
      <c r="Q34" s="22" t="s">
        <v>26</v>
      </c>
      <c r="R34" s="12"/>
      <c r="S34" s="12"/>
    </row>
    <row r="35" customFormat="false" ht="42" hidden="false" customHeight="true" outlineLevel="0" collapsed="false">
      <c r="A35" s="4" t="s">
        <v>120</v>
      </c>
      <c r="B35" s="5"/>
      <c r="C35" s="6" t="s">
        <v>121</v>
      </c>
      <c r="D35" s="7" t="s">
        <v>122</v>
      </c>
      <c r="E35" s="8" t="n">
        <v>5</v>
      </c>
      <c r="F35" s="9" t="n">
        <v>0</v>
      </c>
      <c r="G35" s="10" t="s">
        <v>25</v>
      </c>
      <c r="H35" s="12"/>
      <c r="I35" s="12"/>
      <c r="J35" s="12"/>
      <c r="K35" s="12"/>
      <c r="L35" s="12"/>
      <c r="M35" s="12"/>
      <c r="N35" s="12"/>
      <c r="O35" s="12"/>
      <c r="P35" s="12"/>
      <c r="Q35" s="22" t="s">
        <v>26</v>
      </c>
      <c r="R35" s="22" t="s">
        <v>26</v>
      </c>
      <c r="S35" s="12"/>
    </row>
    <row r="36" customFormat="false" ht="42" hidden="false" customHeight="true" outlineLevel="0" collapsed="false">
      <c r="A36" s="4" t="s">
        <v>123</v>
      </c>
      <c r="B36" s="5"/>
      <c r="C36" s="6" t="s">
        <v>124</v>
      </c>
      <c r="D36" s="7" t="s">
        <v>125</v>
      </c>
      <c r="E36" s="8" t="n">
        <v>8</v>
      </c>
      <c r="F36" s="9" t="n">
        <v>0</v>
      </c>
      <c r="G36" s="10" t="s">
        <v>25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22" t="s">
        <v>26</v>
      </c>
      <c r="S36" s="12"/>
    </row>
    <row r="37" customFormat="false" ht="42" hidden="false" customHeight="true" outlineLevel="0" collapsed="false">
      <c r="A37" s="4" t="s">
        <v>126</v>
      </c>
      <c r="B37" s="5"/>
      <c r="C37" s="6" t="s">
        <v>127</v>
      </c>
      <c r="D37" s="7" t="s">
        <v>128</v>
      </c>
      <c r="E37" s="8" t="n">
        <v>6</v>
      </c>
      <c r="F37" s="9" t="n">
        <v>0</v>
      </c>
      <c r="G37" s="10" t="s">
        <v>25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22" t="s">
        <v>26</v>
      </c>
      <c r="S37" s="22" t="s">
        <v>26</v>
      </c>
    </row>
    <row r="38" customFormat="false" ht="42" hidden="false" customHeight="true" outlineLevel="0" collapsed="false">
      <c r="A38" s="4" t="s">
        <v>129</v>
      </c>
      <c r="B38" s="5"/>
      <c r="C38" s="6" t="s">
        <v>130</v>
      </c>
      <c r="D38" s="7" t="s">
        <v>131</v>
      </c>
      <c r="E38" s="8" t="n">
        <v>4</v>
      </c>
      <c r="F38" s="9" t="n">
        <v>0</v>
      </c>
      <c r="G38" s="10" t="s">
        <v>25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22" t="s">
        <v>26</v>
      </c>
    </row>
    <row r="39" customFormat="false" ht="42" hidden="false" customHeight="true" outlineLevel="0" collapsed="false">
      <c r="A39" s="4" t="s">
        <v>132</v>
      </c>
      <c r="B39" s="5"/>
      <c r="C39" s="6" t="s">
        <v>133</v>
      </c>
      <c r="D39" s="7" t="s">
        <v>134</v>
      </c>
      <c r="E39" s="8" t="n">
        <v>3</v>
      </c>
      <c r="F39" s="9" t="n">
        <v>0</v>
      </c>
      <c r="G39" s="10" t="s">
        <v>25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22" t="s">
        <v>26</v>
      </c>
    </row>
    <row r="40" customFormat="false" ht="42" hidden="false" customHeight="true" outlineLevel="0" collapsed="false">
      <c r="A40" s="4" t="s">
        <v>135</v>
      </c>
      <c r="B40" s="5"/>
      <c r="C40" s="6" t="s">
        <v>136</v>
      </c>
      <c r="D40" s="7" t="s">
        <v>137</v>
      </c>
      <c r="E40" s="8" t="n">
        <v>5</v>
      </c>
      <c r="F40" s="9" t="n">
        <v>0</v>
      </c>
      <c r="G40" s="10" t="s">
        <v>25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22" t="s">
        <v>26</v>
      </c>
    </row>
    <row r="41" customFormat="false" ht="42" hidden="false" customHeight="true" outlineLevel="0" collapsed="false">
      <c r="A41" s="4" t="s">
        <v>138</v>
      </c>
      <c r="B41" s="14" t="s">
        <v>139</v>
      </c>
      <c r="C41" s="6" t="s">
        <v>140</v>
      </c>
      <c r="D41" s="7" t="s">
        <v>141</v>
      </c>
      <c r="E41" s="8" t="n">
        <v>4</v>
      </c>
      <c r="F41" s="9" t="n">
        <v>0</v>
      </c>
      <c r="G41" s="10" t="s">
        <v>25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customFormat="false" ht="42" hidden="false" customHeight="true" outlineLevel="0" collapsed="false">
      <c r="A42" s="4" t="s">
        <v>142</v>
      </c>
      <c r="B42" s="14"/>
      <c r="C42" s="6" t="s">
        <v>143</v>
      </c>
      <c r="D42" s="7" t="s">
        <v>144</v>
      </c>
      <c r="E42" s="8" t="n">
        <v>2</v>
      </c>
      <c r="F42" s="9" t="n">
        <v>0</v>
      </c>
      <c r="G42" s="10" t="s">
        <v>25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customFormat="false" ht="42" hidden="false" customHeight="true" outlineLevel="0" collapsed="false">
      <c r="A43" s="4" t="s">
        <v>145</v>
      </c>
      <c r="B43" s="14"/>
      <c r="C43" s="6" t="s">
        <v>146</v>
      </c>
      <c r="D43" s="7" t="s">
        <v>147</v>
      </c>
      <c r="E43" s="8" t="n">
        <v>2</v>
      </c>
      <c r="F43" s="9" t="n">
        <v>0</v>
      </c>
      <c r="G43" s="10" t="s">
        <v>25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customFormat="false" ht="42" hidden="false" customHeight="true" outlineLevel="0" collapsed="false">
      <c r="A44" s="4" t="s">
        <v>148</v>
      </c>
      <c r="B44" s="14"/>
      <c r="C44" s="6" t="s">
        <v>149</v>
      </c>
      <c r="D44" s="7" t="s">
        <v>150</v>
      </c>
      <c r="E44" s="8" t="n">
        <v>6</v>
      </c>
      <c r="F44" s="9" t="n">
        <v>0</v>
      </c>
      <c r="G44" s="10" t="s">
        <v>25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6" customFormat="false" ht="15" hidden="false" customHeight="false" outlineLevel="0" collapsed="false">
      <c r="A46" s="23"/>
      <c r="B46" s="23"/>
      <c r="C46" s="24" t="s">
        <v>151</v>
      </c>
      <c r="D46" s="23"/>
      <c r="E46" s="25" t="n">
        <f aca="false">SUM(E5:E45)</f>
        <v>160</v>
      </c>
      <c r="F46" s="26" t="n">
        <f aca="false">SUM(F5:F45)</f>
        <v>16.5</v>
      </c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</row>
    <row r="48" customFormat="false" ht="15" hidden="false" customHeight="false" outlineLevel="0" collapsed="false">
      <c r="A48" s="27" t="s">
        <v>152</v>
      </c>
      <c r="C48" s="28"/>
      <c r="D48" s="29" t="s">
        <v>153</v>
      </c>
      <c r="E48" s="30"/>
      <c r="F48" s="29" t="s">
        <v>154</v>
      </c>
      <c r="G48" s="31"/>
      <c r="H48" s="29" t="s">
        <v>155</v>
      </c>
      <c r="I48" s="32"/>
      <c r="J48" s="29" t="s">
        <v>156</v>
      </c>
      <c r="K48" s="33"/>
      <c r="L48" s="29" t="s">
        <v>157</v>
      </c>
      <c r="M48" s="34"/>
      <c r="N48" s="29" t="s">
        <v>158</v>
      </c>
    </row>
  </sheetData>
  <mergeCells count="9">
    <mergeCell ref="A1:P1"/>
    <mergeCell ref="A2:P2"/>
    <mergeCell ref="B5:B9"/>
    <mergeCell ref="B10:B14"/>
    <mergeCell ref="B15:B20"/>
    <mergeCell ref="B21:B27"/>
    <mergeCell ref="B28:B33"/>
    <mergeCell ref="B34:B40"/>
    <mergeCell ref="B41:B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3E1D"/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8"/>
    <col collapsed="false" customWidth="true" hidden="false" outlineLevel="0" max="4" min="4" style="0" width="40"/>
  </cols>
  <sheetData>
    <row r="1" customFormat="false" ht="30" hidden="false" customHeight="true" outlineLevel="0" collapsed="false">
      <c r="A1" s="35" t="s">
        <v>159</v>
      </c>
      <c r="B1" s="35"/>
      <c r="C1" s="35"/>
      <c r="D1" s="35"/>
    </row>
    <row r="3" customFormat="false" ht="15" hidden="false" customHeight="false" outlineLevel="0" collapsed="false">
      <c r="A3" s="3" t="s">
        <v>160</v>
      </c>
      <c r="B3" s="3" t="s">
        <v>161</v>
      </c>
      <c r="C3" s="3" t="s">
        <v>162</v>
      </c>
      <c r="D3" s="3" t="s">
        <v>163</v>
      </c>
    </row>
    <row r="4" customFormat="false" ht="39.75" hidden="false" customHeight="true" outlineLevel="0" collapsed="false">
      <c r="A4" s="6" t="s">
        <v>78</v>
      </c>
      <c r="B4" s="6" t="s">
        <v>164</v>
      </c>
      <c r="C4" s="6" t="s">
        <v>165</v>
      </c>
      <c r="D4" s="6" t="s">
        <v>166</v>
      </c>
    </row>
    <row r="5" customFormat="false" ht="39.75" hidden="false" customHeight="true" outlineLevel="0" collapsed="false">
      <c r="A5" s="6" t="s">
        <v>167</v>
      </c>
      <c r="B5" s="6" t="s">
        <v>168</v>
      </c>
      <c r="C5" s="6" t="s">
        <v>169</v>
      </c>
      <c r="D5" s="6" t="s">
        <v>170</v>
      </c>
    </row>
    <row r="6" customFormat="false" ht="39.75" hidden="false" customHeight="true" outlineLevel="0" collapsed="false">
      <c r="A6" s="6" t="s">
        <v>171</v>
      </c>
      <c r="B6" s="6" t="s">
        <v>172</v>
      </c>
      <c r="C6" s="6" t="s">
        <v>173</v>
      </c>
      <c r="D6" s="6" t="s">
        <v>174</v>
      </c>
    </row>
    <row r="7" customFormat="false" ht="39.75" hidden="false" customHeight="true" outlineLevel="0" collapsed="false">
      <c r="A7" s="6" t="s">
        <v>175</v>
      </c>
      <c r="B7" s="6" t="s">
        <v>176</v>
      </c>
      <c r="C7" s="6" t="s">
        <v>177</v>
      </c>
      <c r="D7" s="6" t="s">
        <v>178</v>
      </c>
    </row>
    <row r="8" customFormat="false" ht="39.75" hidden="false" customHeight="true" outlineLevel="0" collapsed="false">
      <c r="A8" s="6" t="s">
        <v>179</v>
      </c>
      <c r="B8" s="6" t="s">
        <v>180</v>
      </c>
      <c r="C8" s="6" t="s">
        <v>181</v>
      </c>
      <c r="D8" s="6" t="s">
        <v>182</v>
      </c>
    </row>
    <row r="9" customFormat="false" ht="39.75" hidden="false" customHeight="true" outlineLevel="0" collapsed="false">
      <c r="A9" s="6" t="s">
        <v>183</v>
      </c>
      <c r="B9" s="6" t="s">
        <v>184</v>
      </c>
      <c r="C9" s="6" t="s">
        <v>185</v>
      </c>
      <c r="D9" s="6" t="s">
        <v>186</v>
      </c>
    </row>
    <row r="10" customFormat="false" ht="39.75" hidden="false" customHeight="true" outlineLevel="0" collapsed="false">
      <c r="A10" s="6" t="s">
        <v>187</v>
      </c>
      <c r="B10" s="6" t="s">
        <v>188</v>
      </c>
      <c r="C10" s="6" t="s">
        <v>189</v>
      </c>
      <c r="D10" s="6" t="s">
        <v>190</v>
      </c>
    </row>
    <row r="13" customFormat="false" ht="26.85" hidden="false" customHeight="false" outlineLevel="0" collapsed="false">
      <c r="A13" s="3" t="s">
        <v>191</v>
      </c>
      <c r="B13" s="3" t="s">
        <v>192</v>
      </c>
      <c r="C13" s="3" t="s">
        <v>193</v>
      </c>
      <c r="D13" s="3" t="s">
        <v>194</v>
      </c>
    </row>
    <row r="14" customFormat="false" ht="30" hidden="false" customHeight="true" outlineLevel="0" collapsed="false">
      <c r="A14" s="6" t="s">
        <v>195</v>
      </c>
      <c r="B14" s="6" t="s">
        <v>196</v>
      </c>
      <c r="C14" s="6" t="s">
        <v>197</v>
      </c>
      <c r="D14" s="6" t="s">
        <v>198</v>
      </c>
    </row>
    <row r="15" customFormat="false" ht="30" hidden="false" customHeight="true" outlineLevel="0" collapsed="false">
      <c r="A15" s="6" t="s">
        <v>199</v>
      </c>
      <c r="B15" s="6" t="s">
        <v>200</v>
      </c>
      <c r="C15" s="6" t="s">
        <v>201</v>
      </c>
      <c r="D15" s="6" t="s">
        <v>202</v>
      </c>
    </row>
    <row r="16" customFormat="false" ht="30" hidden="false" customHeight="true" outlineLevel="0" collapsed="false">
      <c r="A16" s="6" t="s">
        <v>203</v>
      </c>
      <c r="B16" s="6" t="s">
        <v>204</v>
      </c>
      <c r="C16" s="6" t="s">
        <v>205</v>
      </c>
      <c r="D16" s="6" t="s">
        <v>206</v>
      </c>
    </row>
    <row r="17" customFormat="false" ht="30" hidden="false" customHeight="true" outlineLevel="0" collapsed="false">
      <c r="A17" s="6" t="s">
        <v>207</v>
      </c>
      <c r="B17" s="6" t="s">
        <v>200</v>
      </c>
      <c r="C17" s="6" t="s">
        <v>201</v>
      </c>
      <c r="D17" s="6" t="s">
        <v>208</v>
      </c>
    </row>
    <row r="18" customFormat="false" ht="30" hidden="false" customHeight="true" outlineLevel="0" collapsed="false">
      <c r="A18" s="6" t="s">
        <v>209</v>
      </c>
      <c r="B18" s="6" t="s">
        <v>210</v>
      </c>
      <c r="C18" s="6" t="s">
        <v>211</v>
      </c>
      <c r="D18" s="6" t="s">
        <v>212</v>
      </c>
    </row>
    <row r="19" customFormat="false" ht="30" hidden="false" customHeight="true" outlineLevel="0" collapsed="false">
      <c r="A19" s="6" t="s">
        <v>213</v>
      </c>
      <c r="B19" s="6" t="s">
        <v>214</v>
      </c>
      <c r="C19" s="6" t="s">
        <v>215</v>
      </c>
      <c r="D19" s="6" t="s">
        <v>216</v>
      </c>
    </row>
    <row r="20" customFormat="false" ht="30" hidden="false" customHeight="true" outlineLevel="0" collapsed="false">
      <c r="A20" s="6" t="s">
        <v>95</v>
      </c>
      <c r="B20" s="6" t="s">
        <v>217</v>
      </c>
      <c r="C20" s="6" t="s">
        <v>218</v>
      </c>
      <c r="D20" s="6" t="s">
        <v>219</v>
      </c>
    </row>
    <row r="21" customFormat="false" ht="30" hidden="false" customHeight="true" outlineLevel="0" collapsed="false">
      <c r="A21" s="6" t="s">
        <v>220</v>
      </c>
      <c r="B21" s="6" t="s">
        <v>221</v>
      </c>
      <c r="C21" s="6" t="s">
        <v>222</v>
      </c>
      <c r="D21" s="6" t="s">
        <v>223</v>
      </c>
    </row>
    <row r="22" customFormat="false" ht="30" hidden="false" customHeight="true" outlineLevel="0" collapsed="false">
      <c r="A22" s="6" t="s">
        <v>224</v>
      </c>
      <c r="B22" s="6" t="s">
        <v>225</v>
      </c>
      <c r="C22" s="6" t="s">
        <v>205</v>
      </c>
      <c r="D22" s="6" t="s">
        <v>226</v>
      </c>
    </row>
    <row r="25" customFormat="false" ht="15" hidden="false" customHeight="false" outlineLevel="0" collapsed="false">
      <c r="A25" s="36" t="s">
        <v>227</v>
      </c>
      <c r="B25" s="36"/>
      <c r="C25" s="36"/>
      <c r="D25" s="36"/>
    </row>
    <row r="26" customFormat="false" ht="15" hidden="false" customHeight="false" outlineLevel="0" collapsed="false">
      <c r="A26" s="3" t="s">
        <v>228</v>
      </c>
      <c r="B26" s="3" t="s">
        <v>229</v>
      </c>
      <c r="C26" s="3" t="s">
        <v>230</v>
      </c>
      <c r="D26" s="3" t="s">
        <v>194</v>
      </c>
    </row>
    <row r="27" customFormat="false" ht="27.75" hidden="false" customHeight="true" outlineLevel="0" collapsed="false">
      <c r="A27" s="6" t="s">
        <v>231</v>
      </c>
      <c r="B27" s="6" t="n">
        <v>4</v>
      </c>
      <c r="C27" s="37" t="n">
        <f aca="false">B27/15</f>
        <v>0.266666666666667</v>
      </c>
      <c r="D27" s="6" t="s">
        <v>232</v>
      </c>
    </row>
    <row r="28" customFormat="false" ht="27.75" hidden="false" customHeight="true" outlineLevel="0" collapsed="false">
      <c r="A28" s="6" t="s">
        <v>233</v>
      </c>
      <c r="B28" s="6" t="n">
        <v>4</v>
      </c>
      <c r="C28" s="37" t="n">
        <f aca="false">B28/15</f>
        <v>0.266666666666667</v>
      </c>
      <c r="D28" s="6" t="s">
        <v>234</v>
      </c>
    </row>
    <row r="29" customFormat="false" ht="27.75" hidden="false" customHeight="true" outlineLevel="0" collapsed="false">
      <c r="A29" s="6" t="s">
        <v>235</v>
      </c>
      <c r="B29" s="6" t="n">
        <v>2</v>
      </c>
      <c r="C29" s="37" t="n">
        <f aca="false">B29/15</f>
        <v>0.133333333333333</v>
      </c>
      <c r="D29" s="6" t="s">
        <v>236</v>
      </c>
    </row>
    <row r="30" customFormat="false" ht="27.75" hidden="false" customHeight="true" outlineLevel="0" collapsed="false">
      <c r="A30" s="6" t="s">
        <v>237</v>
      </c>
      <c r="B30" s="6" t="n">
        <v>2</v>
      </c>
      <c r="C30" s="37" t="n">
        <f aca="false">B30/15</f>
        <v>0.133333333333333</v>
      </c>
      <c r="D30" s="6" t="s">
        <v>238</v>
      </c>
    </row>
    <row r="31" customFormat="false" ht="27.75" hidden="false" customHeight="true" outlineLevel="0" collapsed="false">
      <c r="A31" s="6" t="s">
        <v>239</v>
      </c>
      <c r="B31" s="6" t="n">
        <v>2</v>
      </c>
      <c r="C31" s="37" t="n">
        <f aca="false">B31/15</f>
        <v>0.133333333333333</v>
      </c>
      <c r="D31" s="6" t="s">
        <v>240</v>
      </c>
    </row>
    <row r="32" customFormat="false" ht="27.75" hidden="false" customHeight="true" outlineLevel="0" collapsed="false">
      <c r="A32" s="6" t="s">
        <v>241</v>
      </c>
      <c r="B32" s="6" t="n">
        <v>1</v>
      </c>
      <c r="C32" s="37" t="n">
        <f aca="false">B32/15</f>
        <v>0.0666666666666667</v>
      </c>
      <c r="D32" s="6" t="s">
        <v>242</v>
      </c>
    </row>
    <row r="33" customFormat="false" ht="15" hidden="false" customHeight="false" outlineLevel="0" collapsed="false">
      <c r="A33" s="38" t="s">
        <v>151</v>
      </c>
      <c r="B33" s="4" t="n">
        <f aca="false">SUM(B27:B32)</f>
        <v>15</v>
      </c>
    </row>
  </sheetData>
  <mergeCells count="2">
    <mergeCell ref="A1:D1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F01"/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35" t="s">
        <v>243</v>
      </c>
      <c r="B1" s="35"/>
    </row>
    <row r="3" customFormat="false" ht="15" hidden="false" customHeight="false" outlineLevel="0" collapsed="false">
      <c r="A3" s="3" t="s">
        <v>244</v>
      </c>
      <c r="B3" s="3" t="s">
        <v>245</v>
      </c>
    </row>
    <row r="4" customFormat="false" ht="49.5" hidden="false" customHeight="true" outlineLevel="0" collapsed="false">
      <c r="A4" s="6" t="s">
        <v>246</v>
      </c>
      <c r="B4" s="6" t="s">
        <v>247</v>
      </c>
    </row>
    <row r="5" customFormat="false" ht="49.5" hidden="false" customHeight="true" outlineLevel="0" collapsed="false">
      <c r="A5" s="6" t="s">
        <v>248</v>
      </c>
      <c r="B5" s="6" t="s">
        <v>249</v>
      </c>
    </row>
    <row r="6" customFormat="false" ht="49.5" hidden="false" customHeight="true" outlineLevel="0" collapsed="false">
      <c r="A6" s="6" t="s">
        <v>250</v>
      </c>
      <c r="B6" s="6" t="s">
        <v>251</v>
      </c>
    </row>
    <row r="7" customFormat="false" ht="49.5" hidden="false" customHeight="true" outlineLevel="0" collapsed="false">
      <c r="A7" s="6" t="s">
        <v>252</v>
      </c>
      <c r="B7" s="6" t="s">
        <v>253</v>
      </c>
    </row>
    <row r="8" customFormat="false" ht="49.5" hidden="false" customHeight="true" outlineLevel="0" collapsed="false">
      <c r="A8" s="6" t="s">
        <v>254</v>
      </c>
      <c r="B8" s="6" t="s">
        <v>255</v>
      </c>
    </row>
    <row r="9" customFormat="false" ht="49.5" hidden="false" customHeight="true" outlineLevel="0" collapsed="false">
      <c r="A9" s="6" t="s">
        <v>256</v>
      </c>
      <c r="B9" s="6" t="s">
        <v>257</v>
      </c>
    </row>
    <row r="10" customFormat="false" ht="49.5" hidden="false" customHeight="true" outlineLevel="0" collapsed="false">
      <c r="A10" s="6" t="s">
        <v>258</v>
      </c>
      <c r="B10" s="6" t="s">
        <v>259</v>
      </c>
    </row>
    <row r="11" customFormat="false" ht="49.5" hidden="false" customHeight="true" outlineLevel="0" collapsed="false">
      <c r="A11" s="6" t="s">
        <v>260</v>
      </c>
      <c r="B11" s="6" t="s">
        <v>261</v>
      </c>
    </row>
    <row r="12" customFormat="false" ht="49.5" hidden="false" customHeight="true" outlineLevel="0" collapsed="false">
      <c r="A12" s="6" t="s">
        <v>262</v>
      </c>
      <c r="B12" s="6" t="s">
        <v>263</v>
      </c>
    </row>
    <row r="13" customFormat="false" ht="49.5" hidden="false" customHeight="true" outlineLevel="0" collapsed="false">
      <c r="A13" s="6" t="s">
        <v>264</v>
      </c>
      <c r="B13" s="6" t="s">
        <v>265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3E1D"/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45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35" t="s">
        <v>266</v>
      </c>
      <c r="B1" s="35"/>
      <c r="C1" s="35"/>
      <c r="D1" s="35"/>
      <c r="E1" s="35"/>
    </row>
    <row r="3" customFormat="false" ht="15" hidden="false" customHeight="false" outlineLevel="0" collapsed="false">
      <c r="A3" s="3" t="s">
        <v>267</v>
      </c>
      <c r="B3" s="3" t="s">
        <v>268</v>
      </c>
      <c r="C3" s="3" t="s">
        <v>269</v>
      </c>
      <c r="D3" s="3" t="s">
        <v>270</v>
      </c>
      <c r="E3" s="3" t="s">
        <v>271</v>
      </c>
    </row>
    <row r="4" customFormat="false" ht="54.75" hidden="false" customHeight="true" outlineLevel="0" collapsed="false">
      <c r="A4" s="6" t="s">
        <v>272</v>
      </c>
      <c r="B4" s="39" t="s">
        <v>273</v>
      </c>
      <c r="C4" s="39" t="s">
        <v>273</v>
      </c>
      <c r="D4" s="6" t="s">
        <v>274</v>
      </c>
      <c r="E4" s="10" t="s">
        <v>275</v>
      </c>
    </row>
    <row r="5" customFormat="false" ht="54.75" hidden="false" customHeight="true" outlineLevel="0" collapsed="false">
      <c r="A5" s="6" t="s">
        <v>276</v>
      </c>
      <c r="B5" s="40" t="s">
        <v>277</v>
      </c>
      <c r="C5" s="39" t="s">
        <v>273</v>
      </c>
      <c r="D5" s="6" t="s">
        <v>278</v>
      </c>
      <c r="E5" s="10" t="s">
        <v>279</v>
      </c>
    </row>
    <row r="6" customFormat="false" ht="54.75" hidden="false" customHeight="true" outlineLevel="0" collapsed="false">
      <c r="A6" s="6" t="s">
        <v>280</v>
      </c>
      <c r="B6" s="39" t="s">
        <v>273</v>
      </c>
      <c r="C6" s="40" t="s">
        <v>277</v>
      </c>
      <c r="D6" s="6" t="s">
        <v>281</v>
      </c>
      <c r="E6" s="10" t="s">
        <v>282</v>
      </c>
    </row>
    <row r="7" customFormat="false" ht="54.75" hidden="false" customHeight="true" outlineLevel="0" collapsed="false">
      <c r="A7" s="6" t="s">
        <v>283</v>
      </c>
      <c r="B7" s="40" t="s">
        <v>277</v>
      </c>
      <c r="C7" s="40" t="s">
        <v>277</v>
      </c>
      <c r="D7" s="6" t="s">
        <v>284</v>
      </c>
      <c r="E7" s="10" t="s">
        <v>285</v>
      </c>
    </row>
    <row r="8" customFormat="false" ht="54.75" hidden="false" customHeight="true" outlineLevel="0" collapsed="false">
      <c r="A8" s="6" t="s">
        <v>286</v>
      </c>
      <c r="B8" s="40" t="s">
        <v>277</v>
      </c>
      <c r="C8" s="39" t="s">
        <v>273</v>
      </c>
      <c r="D8" s="6" t="s">
        <v>287</v>
      </c>
      <c r="E8" s="10" t="s">
        <v>288</v>
      </c>
    </row>
    <row r="9" customFormat="false" ht="54.75" hidden="false" customHeight="true" outlineLevel="0" collapsed="false">
      <c r="A9" s="6" t="s">
        <v>289</v>
      </c>
      <c r="B9" s="41" t="s">
        <v>290</v>
      </c>
      <c r="C9" s="39" t="s">
        <v>273</v>
      </c>
      <c r="D9" s="6" t="s">
        <v>291</v>
      </c>
      <c r="E9" s="10" t="s">
        <v>292</v>
      </c>
    </row>
    <row r="10" customFormat="false" ht="54.75" hidden="false" customHeight="true" outlineLevel="0" collapsed="false">
      <c r="A10" s="6" t="s">
        <v>293</v>
      </c>
      <c r="B10" s="39" t="s">
        <v>273</v>
      </c>
      <c r="C10" s="40" t="s">
        <v>277</v>
      </c>
      <c r="D10" s="6" t="s">
        <v>294</v>
      </c>
      <c r="E10" s="10" t="s">
        <v>295</v>
      </c>
    </row>
    <row r="11" customFormat="false" ht="54.75" hidden="false" customHeight="true" outlineLevel="0" collapsed="false">
      <c r="A11" s="6" t="s">
        <v>296</v>
      </c>
      <c r="B11" s="40" t="s">
        <v>277</v>
      </c>
      <c r="C11" s="41" t="s">
        <v>290</v>
      </c>
      <c r="D11" s="6" t="s">
        <v>297</v>
      </c>
      <c r="E11" s="10" t="s">
        <v>298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2026-02-18T11:29:30Z</dcterms:created>
  <dc:creator>openpyxl</dc:creator>
  <dc:description/>
  <dc:language>en-US</dc:language>
  <cp:lastModifiedBy/>
  <dcterms:modified xsi:type="dcterms:W3CDTF">2026-02-18T11:29:30Z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